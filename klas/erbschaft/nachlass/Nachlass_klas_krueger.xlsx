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k\bk_shared\klas\erbschaft\nachlass\"/>
    </mc:Choice>
  </mc:AlternateContent>
  <xr:revisionPtr revIDLastSave="0" documentId="13_ncr:1_{3EBB85D7-CA7B-4B4F-B36E-8BCC511794A9}" xr6:coauthVersionLast="47" xr6:coauthVersionMax="47" xr10:uidLastSave="{00000000-0000-0000-0000-000000000000}"/>
  <bookViews>
    <workbookView xWindow="0" yWindow="10410" windowWidth="38400" windowHeight="10470" tabRatio="500" xr2:uid="{00000000-000D-0000-FFFF-FFFF00000000}"/>
  </bookViews>
  <sheets>
    <sheet name="Nachlassverzeichnis" sheetId="1" r:id="rId1"/>
    <sheet name="Ertrag Fisher Depot" sheetId="2" r:id="rId2"/>
    <sheet name="Ertrag comdirect 2025" sheetId="3" r:id="rId3"/>
    <sheet name="Beerdigungskoste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23" i="3"/>
  <c r="B25" i="1" s="1"/>
  <c r="B27" i="1" s="1"/>
  <c r="B12" i="2"/>
  <c r="E10" i="2"/>
  <c r="E6" i="2"/>
  <c r="B5" i="2"/>
  <c r="B11" i="1"/>
  <c r="B17" i="1" l="1"/>
  <c r="B19" i="1" s="1"/>
</calcChain>
</file>

<file path=xl/sharedStrings.xml><?xml version="1.0" encoding="utf-8"?>
<sst xmlns="http://schemas.openxmlformats.org/spreadsheetml/2006/main" count="58" uniqueCount="55">
  <si>
    <t>Nachlasssache Klas Krüger</t>
  </si>
  <si>
    <t>Nachlassverzeichnis auf den Sterbetag 05.02.2026</t>
  </si>
  <si>
    <t>Wert</t>
  </si>
  <si>
    <t>Wert per</t>
  </si>
  <si>
    <t>Aktiva</t>
  </si>
  <si>
    <t>Depot Fisher Investments (KNR 1181314814)</t>
  </si>
  <si>
    <t>Depot comdirect 118 728563800, sonstiges</t>
  </si>
  <si>
    <t>Geschäftseinlage green-planetengergy 5258263660</t>
  </si>
  <si>
    <t>50% LZO Konto</t>
  </si>
  <si>
    <t>50% Lohnsteuerjahresausgleich 24/25</t>
  </si>
  <si>
    <t>Summe</t>
  </si>
  <si>
    <t>Fisher Depot</t>
  </si>
  <si>
    <t>Fisher Depot Managementgebühren Q1-Q4</t>
  </si>
  <si>
    <t>comdirect Depot</t>
  </si>
  <si>
    <t>(aus Blatt 'Ertrag comdirect 2025', korrigiert 20.10.2026)</t>
  </si>
  <si>
    <t>Erträge 2025 gesamt</t>
  </si>
  <si>
    <t>Fisher Depot bis Q1-Q3</t>
  </si>
  <si>
    <t>Fisher Depot Managementgebühren Q1+Q2</t>
  </si>
  <si>
    <t>(Q3 Gebühren liegen noch nicht vor)</t>
  </si>
  <si>
    <t>(geschätzt wie 2025)</t>
  </si>
  <si>
    <t xml:space="preserve">Erträge 2026 1.1-30.9. </t>
  </si>
  <si>
    <t>Summe Einnahmen 25</t>
  </si>
  <si>
    <t>Depotverwaltung</t>
  </si>
  <si>
    <t>Summe Steuern 25</t>
  </si>
  <si>
    <t>Q1/2025</t>
  </si>
  <si>
    <t>Q2/2025</t>
  </si>
  <si>
    <t>Q3/2025</t>
  </si>
  <si>
    <t>Ergebnis 25</t>
  </si>
  <si>
    <t>Q4/2025</t>
  </si>
  <si>
    <t>Summe Einnahmen 26</t>
  </si>
  <si>
    <t>Q1/2026</t>
  </si>
  <si>
    <t>Summe Steuern 26</t>
  </si>
  <si>
    <t>Q2/2026</t>
  </si>
  <si>
    <t>Depoverwaltung 26</t>
  </si>
  <si>
    <t>Ergebnis 26 (Q1-Q3)</t>
  </si>
  <si>
    <t>Basiert auf Finanzreports 01-12/2025</t>
  </si>
  <si>
    <t>Girokonto</t>
  </si>
  <si>
    <t>Tagesgeld</t>
  </si>
  <si>
    <t>Verrechnung</t>
  </si>
  <si>
    <t>Depot</t>
  </si>
  <si>
    <t>Zinsen Tagesgeld Q1 (netto)</t>
  </si>
  <si>
    <t>Ertragsgutschrift Roche (netto)</t>
  </si>
  <si>
    <t>Ertragsgutschrift Nestlé (netto)</t>
  </si>
  <si>
    <t>Ertragsgutschrift Fuchs (netto)</t>
  </si>
  <si>
    <t>Storno Ertragsgutschrift Nestlé</t>
  </si>
  <si>
    <t>Ertragsgutschrift Nestlé neu (netto)</t>
  </si>
  <si>
    <t>Ertragsgutschrift Reckitt (netto)</t>
  </si>
  <si>
    <t>Steuererstattung (Übertrag GS-OPS TAX QUEST)</t>
  </si>
  <si>
    <t>Zinsen Tagesgeld Q2 (netto)</t>
  </si>
  <si>
    <t>Zinsen Tagesgeld Q3 (netto)</t>
  </si>
  <si>
    <t>Zinsen Tagesgeld Q4 (netto)</t>
  </si>
  <si>
    <t>Korrigiert 20.10.2026: exakte Centbeträge aus den Finanzreporten; Tagesgeldzinsen Q1, Q3, Q4 ergänzt (bisher nur Q2).</t>
  </si>
  <si>
    <t>Trauerredner</t>
  </si>
  <si>
    <t>Cafe Deseo</t>
  </si>
  <si>
    <t>Bestatter Stolle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</si>
</sst>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zoomScale="160" zoomScaleNormal="160" workbookViewId="0">
      <selection activeCell="C20" sqref="C20"/>
    </sheetView>
  </sheetViews>
  <sheetFormatPr baseColWidth="10" defaultColWidth="11.5703125" defaultRowHeight="12.75" x14ac:dyDescent="0.2"/>
  <cols>
    <col min="1" max="1" width="44" customWidth="1"/>
  </cols>
  <sheetData>
    <row r="1" spans="1:3" x14ac:dyDescent="0.2">
      <c r="A1" t="s">
        <v>0</v>
      </c>
    </row>
    <row r="2" spans="1:3" x14ac:dyDescent="0.2">
      <c r="A2" t="s">
        <v>1</v>
      </c>
    </row>
    <row r="3" spans="1:3" x14ac:dyDescent="0.2">
      <c r="B3" t="s">
        <v>2</v>
      </c>
      <c r="C3" t="s">
        <v>3</v>
      </c>
    </row>
    <row r="4" spans="1:3" x14ac:dyDescent="0.2">
      <c r="A4" t="s">
        <v>4</v>
      </c>
    </row>
    <row r="5" spans="1:3" x14ac:dyDescent="0.2">
      <c r="A5" t="s">
        <v>5</v>
      </c>
      <c r="B5">
        <v>1325994.42</v>
      </c>
      <c r="C5" s="1">
        <v>46058</v>
      </c>
    </row>
    <row r="6" spans="1:3" x14ac:dyDescent="0.2">
      <c r="A6" t="s">
        <v>6</v>
      </c>
      <c r="B6">
        <v>111168.24</v>
      </c>
      <c r="C6" s="1">
        <v>46058</v>
      </c>
    </row>
    <row r="7" spans="1:3" ht="13.5" customHeight="1" x14ac:dyDescent="0.2">
      <c r="A7" t="s">
        <v>7</v>
      </c>
      <c r="B7">
        <v>1100</v>
      </c>
      <c r="C7" s="1">
        <v>46056</v>
      </c>
    </row>
    <row r="8" spans="1:3" x14ac:dyDescent="0.2">
      <c r="A8" t="s">
        <v>8</v>
      </c>
      <c r="B8">
        <v>3288.77</v>
      </c>
      <c r="C8" s="1">
        <v>46058</v>
      </c>
    </row>
    <row r="9" spans="1:3" x14ac:dyDescent="0.2">
      <c r="A9" t="s">
        <v>9</v>
      </c>
      <c r="B9">
        <v>3416.13</v>
      </c>
      <c r="C9" s="1">
        <v>46310</v>
      </c>
    </row>
    <row r="11" spans="1:3" x14ac:dyDescent="0.2">
      <c r="A11" s="2" t="s">
        <v>10</v>
      </c>
      <c r="B11" s="2">
        <f>SUM(B5:B9)</f>
        <v>1444967.5599999998</v>
      </c>
    </row>
    <row r="14" spans="1:3" x14ac:dyDescent="0.2">
      <c r="B14" s="3"/>
    </row>
    <row r="15" spans="1:3" x14ac:dyDescent="0.2">
      <c r="A15" t="s">
        <v>11</v>
      </c>
      <c r="B15" s="3">
        <v>16990.39</v>
      </c>
    </row>
    <row r="16" spans="1:3" x14ac:dyDescent="0.2">
      <c r="A16" t="s">
        <v>12</v>
      </c>
      <c r="B16">
        <v>-14695.98</v>
      </c>
    </row>
    <row r="17" spans="1:3" x14ac:dyDescent="0.2">
      <c r="A17" t="s">
        <v>13</v>
      </c>
      <c r="B17" s="3">
        <f>'Ertrag comdirect 2025'!B23</f>
        <v>1517.63</v>
      </c>
      <c r="C17" t="s">
        <v>14</v>
      </c>
    </row>
    <row r="19" spans="1:3" x14ac:dyDescent="0.2">
      <c r="A19" s="2" t="s">
        <v>15</v>
      </c>
      <c r="B19" s="4">
        <f>SUM(B15:B18)</f>
        <v>3812.04</v>
      </c>
    </row>
    <row r="23" spans="1:3" x14ac:dyDescent="0.2">
      <c r="A23" t="s">
        <v>16</v>
      </c>
      <c r="B23">
        <v>12502.3</v>
      </c>
    </row>
    <row r="24" spans="1:3" x14ac:dyDescent="0.2">
      <c r="A24" t="s">
        <v>17</v>
      </c>
      <c r="B24">
        <v>-7787.65</v>
      </c>
      <c r="C24" t="s">
        <v>18</v>
      </c>
    </row>
    <row r="25" spans="1:3" x14ac:dyDescent="0.2">
      <c r="A25" t="s">
        <v>13</v>
      </c>
      <c r="B25" s="3">
        <f>'Ertrag comdirect 2025'!B23</f>
        <v>1517.63</v>
      </c>
      <c r="C25" t="s">
        <v>19</v>
      </c>
    </row>
    <row r="27" spans="1:3" x14ac:dyDescent="0.2">
      <c r="A27" s="2" t="s">
        <v>20</v>
      </c>
      <c r="B27" s="4">
        <f>SUM(B23:B26)</f>
        <v>6232.28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&amp;C&amp;"Aptos,Standard"&amp;K0000ff Internal&amp;1#_x000D_&amp;"Times New Roman,Standard"&amp;12 &amp;K000000&amp;A</oddHeader>
    <oddFooter>&amp;C&amp;"Times New Roman,Standard"&amp;12 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8"/>
  <sheetViews>
    <sheetView zoomScaleNormal="100" workbookViewId="0">
      <selection activeCell="E10" sqref="E10"/>
    </sheetView>
  </sheetViews>
  <sheetFormatPr baseColWidth="10" defaultColWidth="10.7109375" defaultRowHeight="12.75" x14ac:dyDescent="0.2"/>
  <cols>
    <col min="1" max="1" width="21" customWidth="1"/>
    <col min="2" max="2" width="14.28515625" customWidth="1"/>
    <col min="4" max="4" width="15" customWidth="1"/>
    <col min="6" max="6" width="24.28515625" customWidth="1"/>
  </cols>
  <sheetData>
    <row r="1" spans="1:7" x14ac:dyDescent="0.2">
      <c r="A1" t="s">
        <v>21</v>
      </c>
      <c r="B1" s="3">
        <v>23548.63</v>
      </c>
      <c r="D1" t="s">
        <v>22</v>
      </c>
    </row>
    <row r="2" spans="1:7" x14ac:dyDescent="0.2">
      <c r="A2" t="s">
        <v>23</v>
      </c>
      <c r="B2" s="3">
        <v>-6558.25</v>
      </c>
      <c r="D2" t="s">
        <v>24</v>
      </c>
      <c r="E2">
        <v>3458.18</v>
      </c>
    </row>
    <row r="3" spans="1:7" x14ac:dyDescent="0.2">
      <c r="D3" t="s">
        <v>25</v>
      </c>
      <c r="E3">
        <v>3874.27</v>
      </c>
      <c r="G3" s="3"/>
    </row>
    <row r="4" spans="1:7" x14ac:dyDescent="0.2">
      <c r="B4" s="4"/>
      <c r="D4" t="s">
        <v>26</v>
      </c>
      <c r="E4">
        <v>3460.27</v>
      </c>
      <c r="G4" s="3"/>
    </row>
    <row r="5" spans="1:7" x14ac:dyDescent="0.2">
      <c r="A5" t="s">
        <v>27</v>
      </c>
      <c r="B5">
        <f>SUM(B1:B4)</f>
        <v>16990.38</v>
      </c>
      <c r="D5" t="s">
        <v>28</v>
      </c>
      <c r="E5">
        <v>3903.26</v>
      </c>
    </row>
    <row r="6" spans="1:7" x14ac:dyDescent="0.2">
      <c r="E6">
        <f>SUM(E2:E5)</f>
        <v>14695.98</v>
      </c>
    </row>
    <row r="8" spans="1:7" x14ac:dyDescent="0.2">
      <c r="A8" t="s">
        <v>29</v>
      </c>
      <c r="B8">
        <v>18442.41</v>
      </c>
      <c r="D8" t="s">
        <v>30</v>
      </c>
      <c r="E8">
        <v>3874.27</v>
      </c>
    </row>
    <row r="9" spans="1:7" x14ac:dyDescent="0.2">
      <c r="A9" t="s">
        <v>31</v>
      </c>
      <c r="B9">
        <v>-5940.11</v>
      </c>
      <c r="D9" t="s">
        <v>32</v>
      </c>
      <c r="E9">
        <v>3913.38</v>
      </c>
    </row>
    <row r="10" spans="1:7" x14ac:dyDescent="0.2">
      <c r="A10" s="5" t="s">
        <v>33</v>
      </c>
      <c r="E10">
        <f>SUM(E8:E9)</f>
        <v>7787.65</v>
      </c>
    </row>
    <row r="11" spans="1:7" x14ac:dyDescent="0.2">
      <c r="A11" s="5"/>
    </row>
    <row r="12" spans="1:7" x14ac:dyDescent="0.2">
      <c r="A12" t="s">
        <v>34</v>
      </c>
      <c r="B12">
        <f>SUM(B8:B11)</f>
        <v>12502.3</v>
      </c>
    </row>
    <row r="14" spans="1:7" x14ac:dyDescent="0.2">
      <c r="B14" s="2"/>
    </row>
    <row r="15" spans="1:7" x14ac:dyDescent="0.2">
      <c r="A15" s="5"/>
    </row>
    <row r="16" spans="1:7" x14ac:dyDescent="0.2">
      <c r="A16" s="5"/>
    </row>
    <row r="17" spans="1:1" x14ac:dyDescent="0.2">
      <c r="A17" s="5"/>
    </row>
    <row r="18" spans="1:1" x14ac:dyDescent="0.2">
      <c r="A18" s="5"/>
    </row>
    <row r="19" spans="1:1" x14ac:dyDescent="0.2">
      <c r="A19" s="5"/>
    </row>
    <row r="20" spans="1:1" x14ac:dyDescent="0.2">
      <c r="A20" s="5"/>
    </row>
    <row r="21" spans="1:1" x14ac:dyDescent="0.2">
      <c r="A21" s="5"/>
    </row>
    <row r="22" spans="1:1" x14ac:dyDescent="0.2">
      <c r="A22" s="5"/>
    </row>
    <row r="23" spans="1:1" x14ac:dyDescent="0.2">
      <c r="A23" s="5"/>
    </row>
    <row r="24" spans="1:1" x14ac:dyDescent="0.2">
      <c r="A24" s="5"/>
    </row>
    <row r="25" spans="1:1" x14ac:dyDescent="0.2">
      <c r="A25" s="5"/>
    </row>
    <row r="26" spans="1:1" x14ac:dyDescent="0.2">
      <c r="A26" s="5"/>
    </row>
    <row r="27" spans="1:1" x14ac:dyDescent="0.2">
      <c r="A27" s="5"/>
    </row>
    <row r="28" spans="1:1" x14ac:dyDescent="0.2">
      <c r="A28" s="5"/>
    </row>
    <row r="29" spans="1:1" x14ac:dyDescent="0.2">
      <c r="A29" s="5"/>
    </row>
    <row r="30" spans="1:1" x14ac:dyDescent="0.2">
      <c r="A30" s="5"/>
    </row>
    <row r="31" spans="1:1" x14ac:dyDescent="0.2">
      <c r="A31" s="5"/>
    </row>
    <row r="32" spans="1:1" x14ac:dyDescent="0.2">
      <c r="A32" s="5"/>
    </row>
    <row r="33" spans="1:1" x14ac:dyDescent="0.2">
      <c r="A33" s="5"/>
    </row>
    <row r="34" spans="1:1" x14ac:dyDescent="0.2">
      <c r="A34" s="5"/>
    </row>
    <row r="35" spans="1:1" x14ac:dyDescent="0.2">
      <c r="A35" s="5"/>
    </row>
    <row r="36" spans="1:1" x14ac:dyDescent="0.2">
      <c r="A36" s="5"/>
    </row>
    <row r="37" spans="1:1" x14ac:dyDescent="0.2">
      <c r="A37" s="5"/>
    </row>
    <row r="38" spans="1:1" x14ac:dyDescent="0.2">
      <c r="A38" s="5"/>
    </row>
    <row r="39" spans="1:1" x14ac:dyDescent="0.2">
      <c r="A39" s="5"/>
    </row>
    <row r="40" spans="1:1" x14ac:dyDescent="0.2">
      <c r="A40" s="5"/>
    </row>
    <row r="41" spans="1:1" x14ac:dyDescent="0.2">
      <c r="A41" s="5"/>
    </row>
    <row r="42" spans="1:1" x14ac:dyDescent="0.2">
      <c r="A42" s="5"/>
    </row>
    <row r="43" spans="1:1" x14ac:dyDescent="0.2">
      <c r="A43" s="5"/>
    </row>
    <row r="44" spans="1:1" x14ac:dyDescent="0.2">
      <c r="A44" s="5"/>
    </row>
    <row r="45" spans="1:1" x14ac:dyDescent="0.2">
      <c r="A45" s="5"/>
    </row>
    <row r="46" spans="1:1" x14ac:dyDescent="0.2">
      <c r="A46" s="5"/>
    </row>
    <row r="47" spans="1:1" x14ac:dyDescent="0.2">
      <c r="A47" s="5"/>
    </row>
    <row r="48" spans="1:1" x14ac:dyDescent="0.2">
      <c r="A48" s="5"/>
    </row>
    <row r="49" spans="1:1" x14ac:dyDescent="0.2">
      <c r="A49" s="5"/>
    </row>
    <row r="50" spans="1:1" x14ac:dyDescent="0.2">
      <c r="A50" s="5"/>
    </row>
    <row r="51" spans="1:1" x14ac:dyDescent="0.2">
      <c r="A51" s="5"/>
    </row>
    <row r="52" spans="1:1" x14ac:dyDescent="0.2">
      <c r="A52" s="5"/>
    </row>
    <row r="53" spans="1:1" x14ac:dyDescent="0.2">
      <c r="A53" s="5"/>
    </row>
    <row r="54" spans="1:1" x14ac:dyDescent="0.2">
      <c r="A54" s="5"/>
    </row>
    <row r="55" spans="1:1" x14ac:dyDescent="0.2">
      <c r="A55" s="5"/>
    </row>
    <row r="56" spans="1:1" x14ac:dyDescent="0.2">
      <c r="A56" s="5"/>
    </row>
    <row r="57" spans="1:1" x14ac:dyDescent="0.2">
      <c r="A57" s="5"/>
    </row>
    <row r="58" spans="1:1" x14ac:dyDescent="0.2">
      <c r="A58" s="5"/>
    </row>
    <row r="59" spans="1:1" x14ac:dyDescent="0.2">
      <c r="A59" s="5"/>
    </row>
    <row r="60" spans="1:1" x14ac:dyDescent="0.2">
      <c r="A60" s="5"/>
    </row>
    <row r="61" spans="1:1" x14ac:dyDescent="0.2">
      <c r="A61" s="5"/>
    </row>
    <row r="62" spans="1:1" x14ac:dyDescent="0.2">
      <c r="A62" s="5"/>
    </row>
    <row r="63" spans="1:1" x14ac:dyDescent="0.2">
      <c r="A63" s="5"/>
    </row>
    <row r="64" spans="1:1" x14ac:dyDescent="0.2">
      <c r="A64" s="5"/>
    </row>
    <row r="65" spans="1:1" x14ac:dyDescent="0.2">
      <c r="A65" s="5"/>
    </row>
    <row r="66" spans="1:1" x14ac:dyDescent="0.2">
      <c r="A66" s="5"/>
    </row>
    <row r="67" spans="1:1" x14ac:dyDescent="0.2">
      <c r="A67" s="5"/>
    </row>
    <row r="68" spans="1:1" x14ac:dyDescent="0.2">
      <c r="A68" s="5"/>
    </row>
    <row r="69" spans="1:1" x14ac:dyDescent="0.2">
      <c r="A69" s="5"/>
    </row>
    <row r="70" spans="1:1" x14ac:dyDescent="0.2">
      <c r="A70" s="5"/>
    </row>
    <row r="71" spans="1:1" x14ac:dyDescent="0.2">
      <c r="A71" s="5"/>
    </row>
    <row r="72" spans="1:1" x14ac:dyDescent="0.2">
      <c r="A72" s="5"/>
    </row>
    <row r="73" spans="1:1" x14ac:dyDescent="0.2">
      <c r="A73" s="5"/>
    </row>
    <row r="74" spans="1:1" x14ac:dyDescent="0.2">
      <c r="A74" s="5"/>
    </row>
    <row r="75" spans="1:1" x14ac:dyDescent="0.2">
      <c r="A75" s="5"/>
    </row>
    <row r="76" spans="1:1" x14ac:dyDescent="0.2">
      <c r="A76" s="5"/>
    </row>
    <row r="77" spans="1:1" x14ac:dyDescent="0.2">
      <c r="A77" s="5"/>
    </row>
    <row r="78" spans="1:1" x14ac:dyDescent="0.2">
      <c r="A78" s="5"/>
    </row>
    <row r="79" spans="1:1" x14ac:dyDescent="0.2">
      <c r="A79" s="5"/>
    </row>
    <row r="80" spans="1:1" x14ac:dyDescent="0.2">
      <c r="A80" s="5"/>
    </row>
    <row r="81" spans="1:1" x14ac:dyDescent="0.2">
      <c r="A81" s="5"/>
    </row>
    <row r="82" spans="1:1" x14ac:dyDescent="0.2">
      <c r="A82" s="5"/>
    </row>
    <row r="83" spans="1:1" x14ac:dyDescent="0.2">
      <c r="A83" s="5"/>
    </row>
    <row r="84" spans="1:1" x14ac:dyDescent="0.2">
      <c r="A84" s="5"/>
    </row>
    <row r="85" spans="1:1" x14ac:dyDescent="0.2">
      <c r="A85" s="5"/>
    </row>
    <row r="86" spans="1:1" x14ac:dyDescent="0.2">
      <c r="A86" s="5"/>
    </row>
    <row r="87" spans="1:1" x14ac:dyDescent="0.2">
      <c r="A87" s="5"/>
    </row>
    <row r="88" spans="1:1" x14ac:dyDescent="0.2">
      <c r="A88" s="5"/>
    </row>
    <row r="89" spans="1:1" x14ac:dyDescent="0.2">
      <c r="A89" s="5"/>
    </row>
    <row r="90" spans="1:1" x14ac:dyDescent="0.2">
      <c r="A90" s="5"/>
    </row>
    <row r="91" spans="1:1" x14ac:dyDescent="0.2">
      <c r="A91" s="5"/>
    </row>
    <row r="92" spans="1:1" x14ac:dyDescent="0.2">
      <c r="A92" s="5"/>
    </row>
    <row r="93" spans="1:1" x14ac:dyDescent="0.2">
      <c r="A93" s="5"/>
    </row>
    <row r="94" spans="1:1" x14ac:dyDescent="0.2">
      <c r="A94" s="5"/>
    </row>
    <row r="95" spans="1:1" x14ac:dyDescent="0.2">
      <c r="A95" s="5"/>
    </row>
    <row r="96" spans="1:1" x14ac:dyDescent="0.2">
      <c r="A96" s="5"/>
    </row>
    <row r="97" spans="1:1" x14ac:dyDescent="0.2">
      <c r="A97" s="5"/>
    </row>
    <row r="98" spans="1:1" x14ac:dyDescent="0.2">
      <c r="A98" s="5"/>
    </row>
    <row r="99" spans="1:1" x14ac:dyDescent="0.2">
      <c r="A99" s="5"/>
    </row>
    <row r="100" spans="1:1" x14ac:dyDescent="0.2">
      <c r="A100" s="5"/>
    </row>
    <row r="101" spans="1:1" x14ac:dyDescent="0.2">
      <c r="A101" s="5"/>
    </row>
    <row r="102" spans="1:1" x14ac:dyDescent="0.2">
      <c r="A102" s="5"/>
    </row>
    <row r="103" spans="1:1" x14ac:dyDescent="0.2">
      <c r="A103" s="5"/>
    </row>
    <row r="104" spans="1:1" x14ac:dyDescent="0.2">
      <c r="A104" s="5"/>
    </row>
    <row r="105" spans="1:1" x14ac:dyDescent="0.2">
      <c r="A105" s="5"/>
    </row>
    <row r="106" spans="1:1" x14ac:dyDescent="0.2">
      <c r="A106" s="5"/>
    </row>
    <row r="107" spans="1:1" x14ac:dyDescent="0.2">
      <c r="A107" s="5"/>
    </row>
    <row r="108" spans="1:1" x14ac:dyDescent="0.2">
      <c r="A108" s="5"/>
    </row>
    <row r="109" spans="1: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"/>
  <sheetViews>
    <sheetView zoomScaleNormal="100" workbookViewId="0">
      <selection activeCell="J39" sqref="J39"/>
    </sheetView>
  </sheetViews>
  <sheetFormatPr baseColWidth="10" defaultColWidth="10.7109375" defaultRowHeight="12.75" x14ac:dyDescent="0.2"/>
  <sheetData>
    <row r="1" spans="1:14" x14ac:dyDescent="0.2">
      <c r="A1" t="s">
        <v>35</v>
      </c>
    </row>
    <row r="2" spans="1:14" x14ac:dyDescent="0.2">
      <c r="B2" s="1">
        <v>45657</v>
      </c>
      <c r="C2" s="1">
        <v>45691</v>
      </c>
      <c r="D2" s="1">
        <v>45719</v>
      </c>
      <c r="E2" s="1">
        <v>45748</v>
      </c>
      <c r="F2" s="1">
        <v>45779</v>
      </c>
      <c r="G2" s="1">
        <v>45810</v>
      </c>
      <c r="H2" s="1">
        <v>45840</v>
      </c>
      <c r="I2" s="1">
        <v>45870</v>
      </c>
      <c r="J2" s="1">
        <v>45901</v>
      </c>
      <c r="K2" s="1">
        <v>45932</v>
      </c>
      <c r="L2" s="1">
        <v>45964</v>
      </c>
      <c r="M2" s="1">
        <v>45992</v>
      </c>
      <c r="N2" s="1">
        <v>46022</v>
      </c>
    </row>
    <row r="3" spans="1:14" x14ac:dyDescent="0.2">
      <c r="A3" t="s">
        <v>36</v>
      </c>
      <c r="B3">
        <v>10848</v>
      </c>
      <c r="C3">
        <v>11198</v>
      </c>
      <c r="D3">
        <v>12554</v>
      </c>
      <c r="E3">
        <v>14307</v>
      </c>
      <c r="F3">
        <v>15933</v>
      </c>
      <c r="G3">
        <v>17072</v>
      </c>
      <c r="H3">
        <v>17913</v>
      </c>
      <c r="I3">
        <v>19365</v>
      </c>
      <c r="J3">
        <v>20736</v>
      </c>
      <c r="K3">
        <v>22166</v>
      </c>
      <c r="L3">
        <v>24386</v>
      </c>
      <c r="M3">
        <v>25810</v>
      </c>
      <c r="N3">
        <v>28009</v>
      </c>
    </row>
    <row r="4" spans="1:14" x14ac:dyDescent="0.2">
      <c r="A4" t="s">
        <v>37</v>
      </c>
      <c r="B4">
        <v>25099</v>
      </c>
      <c r="C4">
        <v>25099</v>
      </c>
      <c r="D4">
        <v>25099</v>
      </c>
      <c r="E4">
        <v>25133</v>
      </c>
      <c r="F4">
        <v>25133</v>
      </c>
      <c r="G4">
        <v>25133</v>
      </c>
      <c r="H4">
        <v>25167</v>
      </c>
      <c r="I4">
        <v>25167</v>
      </c>
      <c r="J4">
        <v>25167</v>
      </c>
      <c r="K4">
        <v>25201</v>
      </c>
      <c r="L4">
        <v>25201</v>
      </c>
      <c r="M4">
        <v>25201</v>
      </c>
      <c r="N4">
        <v>25235</v>
      </c>
    </row>
    <row r="5" spans="1:14" x14ac:dyDescent="0.2">
      <c r="A5" t="s">
        <v>38</v>
      </c>
      <c r="B5">
        <v>3915</v>
      </c>
      <c r="C5">
        <v>3915</v>
      </c>
      <c r="D5">
        <v>3915</v>
      </c>
      <c r="E5">
        <v>4053</v>
      </c>
      <c r="F5">
        <v>4332</v>
      </c>
      <c r="G5">
        <v>4825</v>
      </c>
      <c r="H5">
        <v>5029</v>
      </c>
      <c r="I5">
        <v>5029</v>
      </c>
      <c r="J5">
        <v>5029</v>
      </c>
      <c r="K5">
        <v>5162</v>
      </c>
      <c r="L5">
        <v>5162</v>
      </c>
      <c r="M5">
        <v>5162</v>
      </c>
      <c r="N5">
        <v>5162</v>
      </c>
    </row>
    <row r="6" spans="1:14" x14ac:dyDescent="0.2">
      <c r="A6" t="s">
        <v>39</v>
      </c>
      <c r="B6">
        <v>51751</v>
      </c>
      <c r="C6">
        <v>55456</v>
      </c>
      <c r="D6">
        <v>59361</v>
      </c>
      <c r="E6">
        <v>57574</v>
      </c>
      <c r="F6">
        <v>56166</v>
      </c>
      <c r="G6">
        <v>56634</v>
      </c>
      <c r="H6">
        <v>54819</v>
      </c>
      <c r="I6">
        <v>51790</v>
      </c>
      <c r="J6">
        <v>53118</v>
      </c>
      <c r="K6">
        <v>53506</v>
      </c>
      <c r="L6">
        <v>53626</v>
      </c>
      <c r="M6">
        <v>56646</v>
      </c>
      <c r="N6">
        <v>57560</v>
      </c>
    </row>
    <row r="10" spans="1:14" x14ac:dyDescent="0.2">
      <c r="A10" s="1">
        <v>45747</v>
      </c>
      <c r="B10" s="3">
        <v>33.89</v>
      </c>
      <c r="C10" t="s">
        <v>40</v>
      </c>
    </row>
    <row r="11" spans="1:14" x14ac:dyDescent="0.2">
      <c r="A11" s="1">
        <v>45748</v>
      </c>
      <c r="B11" s="3">
        <v>273.02</v>
      </c>
      <c r="C11" t="s">
        <v>41</v>
      </c>
    </row>
    <row r="12" spans="1:14" x14ac:dyDescent="0.2">
      <c r="A12" s="1">
        <v>45772</v>
      </c>
      <c r="B12" s="3">
        <v>278.7</v>
      </c>
      <c r="C12" t="s">
        <v>42</v>
      </c>
    </row>
    <row r="13" spans="1:14" x14ac:dyDescent="0.2">
      <c r="A13" s="1">
        <v>45789</v>
      </c>
      <c r="B13" s="3">
        <v>294.87</v>
      </c>
      <c r="C13" t="s">
        <v>43</v>
      </c>
    </row>
    <row r="14" spans="1:14" x14ac:dyDescent="0.2">
      <c r="A14" s="1">
        <v>45804</v>
      </c>
      <c r="B14" s="3">
        <v>-278.7</v>
      </c>
      <c r="C14" t="s">
        <v>44</v>
      </c>
    </row>
    <row r="15" spans="1:14" x14ac:dyDescent="0.2">
      <c r="A15" s="1">
        <v>45805</v>
      </c>
      <c r="B15" s="3">
        <v>278.7</v>
      </c>
      <c r="C15" t="s">
        <v>45</v>
      </c>
    </row>
    <row r="16" spans="1:14" x14ac:dyDescent="0.2">
      <c r="A16" s="1">
        <v>45807</v>
      </c>
      <c r="B16" s="3">
        <v>198.27</v>
      </c>
      <c r="C16" t="s">
        <v>46</v>
      </c>
    </row>
    <row r="17" spans="1:3" x14ac:dyDescent="0.2">
      <c r="A17" s="1">
        <v>45831</v>
      </c>
      <c r="B17" s="3">
        <v>204.23</v>
      </c>
      <c r="C17" t="s">
        <v>47</v>
      </c>
    </row>
    <row r="18" spans="1:3" x14ac:dyDescent="0.2">
      <c r="A18" s="1">
        <v>45838</v>
      </c>
      <c r="B18" s="3">
        <v>33.950000000000003</v>
      </c>
      <c r="C18" t="s">
        <v>48</v>
      </c>
    </row>
    <row r="19" spans="1:3" x14ac:dyDescent="0.2">
      <c r="A19" s="1">
        <v>45919</v>
      </c>
      <c r="B19" s="3">
        <v>132.66999999999999</v>
      </c>
      <c r="C19" t="s">
        <v>46</v>
      </c>
    </row>
    <row r="20" spans="1:3" x14ac:dyDescent="0.2">
      <c r="A20" s="1">
        <v>45930</v>
      </c>
      <c r="B20" s="3">
        <v>33.99</v>
      </c>
      <c r="C20" t="s">
        <v>49</v>
      </c>
    </row>
    <row r="21" spans="1:3" x14ac:dyDescent="0.2">
      <c r="A21" s="1">
        <v>46022</v>
      </c>
      <c r="B21" s="3">
        <v>34.04</v>
      </c>
      <c r="C21" t="s">
        <v>50</v>
      </c>
    </row>
    <row r="23" spans="1:3" x14ac:dyDescent="0.2">
      <c r="A23" t="s">
        <v>10</v>
      </c>
      <c r="B23" s="3">
        <f>SUM(B10:B21)</f>
        <v>1517.63</v>
      </c>
    </row>
    <row r="25" spans="1:3" x14ac:dyDescent="0.2">
      <c r="A25" t="s">
        <v>51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160" zoomScaleNormal="160" workbookViewId="0">
      <selection activeCell="E20" sqref="E20"/>
    </sheetView>
  </sheetViews>
  <sheetFormatPr baseColWidth="10" defaultColWidth="11.5703125" defaultRowHeight="12.75" x14ac:dyDescent="0.2"/>
  <cols>
    <col min="1" max="1" width="14.28515625" customWidth="1"/>
  </cols>
  <sheetData>
    <row r="1" spans="1:2" x14ac:dyDescent="0.2">
      <c r="A1" t="s">
        <v>52</v>
      </c>
      <c r="B1">
        <v>603</v>
      </c>
    </row>
    <row r="2" spans="1:2" x14ac:dyDescent="0.2">
      <c r="A2" t="s">
        <v>53</v>
      </c>
      <c r="B2">
        <v>843.4</v>
      </c>
    </row>
    <row r="3" spans="1:2" x14ac:dyDescent="0.2">
      <c r="A3" t="s">
        <v>54</v>
      </c>
      <c r="B3">
        <v>5478.75</v>
      </c>
    </row>
    <row r="5" spans="1:2" x14ac:dyDescent="0.2">
      <c r="B5">
        <f>SUM(B1:B4)</f>
        <v>6925.15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 &amp;A</oddHeader>
    <oddFooter>&amp;C&amp;"Times New Roman,Standard"&amp;12 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Nachlassverzeichnis</vt:lpstr>
      <vt:lpstr>Ertrag Fisher Depot</vt:lpstr>
      <vt:lpstr>Ertrag comdirect 2025</vt:lpstr>
      <vt:lpstr>Beerdigungskosten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Krüger, Bernd</cp:lastModifiedBy>
  <cp:revision>18</cp:revision>
  <dcterms:created xsi:type="dcterms:W3CDTF">2026-09-28T20:16:09Z</dcterms:created>
  <dcterms:modified xsi:type="dcterms:W3CDTF">2026-10-20T20:31:54Z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239bbe-a726-4a51-b64e-a339d0f760df_ActionId">
    <vt:lpwstr>e50d5e8f-823d-46cf-907f-1042a546d0d3</vt:lpwstr>
  </property>
  <property fmtid="{D5CDD505-2E9C-101B-9397-08002B2CF9AE}" pid="3" name="MSIP_Label_bf239bbe-a726-4a51-b64e-a339d0f760df_ContentBits">
    <vt:lpwstr>1</vt:lpwstr>
  </property>
  <property fmtid="{D5CDD505-2E9C-101B-9397-08002B2CF9AE}" pid="4" name="MSIP_Label_bf239bbe-a726-4a51-b64e-a339d0f760df_Enabled">
    <vt:lpwstr>true</vt:lpwstr>
  </property>
  <property fmtid="{D5CDD505-2E9C-101B-9397-08002B2CF9AE}" pid="5" name="MSIP_Label_bf239bbe-a726-4a51-b64e-a339d0f760df_Method">
    <vt:lpwstr>Standard</vt:lpwstr>
  </property>
  <property fmtid="{D5CDD505-2E9C-101B-9397-08002B2CF9AE}" pid="6" name="MSIP_Label_bf239bbe-a726-4a51-b64e-a339d0f760df_Name">
    <vt:lpwstr>doc_internal_pa</vt:lpwstr>
  </property>
  <property fmtid="{D5CDD505-2E9C-101B-9397-08002B2CF9AE}" pid="7" name="MSIP_Label_bf239bbe-a726-4a51-b64e-a339d0f760df_SetDate">
    <vt:lpwstr>2026-10-03T08:55:44Z</vt:lpwstr>
  </property>
  <property fmtid="{D5CDD505-2E9C-101B-9397-08002B2CF9AE}" pid="8" name="MSIP_Label_bf239bbe-a726-4a51-b64e-a339d0f760df_SiteId">
    <vt:lpwstr>1941e20a-ec2d-470a-b5aa-c6c281dc2137</vt:lpwstr>
  </property>
  <property fmtid="{D5CDD505-2E9C-101B-9397-08002B2CF9AE}" pid="9" name="MSIP_Label_bf239bbe-a726-4a51-b64e-a339d0f760df_Tag">
    <vt:lpwstr>10, 3, 0, 1</vt:lpwstr>
  </property>
</Properties>
</file>