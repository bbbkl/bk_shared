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bk\bk_shared\klas\erbschaft\nachlass\"/>
    </mc:Choice>
  </mc:AlternateContent>
  <xr:revisionPtr revIDLastSave="0" documentId="13_ncr:1_{BB515D12-A7BA-4CEB-8C16-3A643F5B10C7}" xr6:coauthVersionLast="47" xr6:coauthVersionMax="47" xr10:uidLastSave="{00000000-0000-0000-0000-000000000000}"/>
  <bookViews>
    <workbookView xWindow="75" yWindow="285" windowWidth="20670" windowHeight="16770" tabRatio="700" xr2:uid="{00000000-000D-0000-FFFF-FFFF00000000}"/>
  </bookViews>
  <sheets>
    <sheet name="Nachlassverzeichnis" sheetId="1" r:id="rId1"/>
    <sheet name="Ertragsberechnung" sheetId="2" r:id="rId2"/>
    <sheet name="Ertrag Fisher Depot" sheetId="4" r:id="rId3"/>
    <sheet name="Ertrag comdirect 2025" sheetId="5" r:id="rId4"/>
    <sheet name="Erbschaftssteuer Hille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14" i="2" l="1"/>
  <c r="B13" i="1"/>
  <c r="B20" i="5"/>
  <c r="G12" i="4"/>
  <c r="G8" i="4"/>
  <c r="G11" i="4"/>
  <c r="G10" i="4"/>
  <c r="G7" i="4"/>
  <c r="G6" i="4"/>
  <c r="D200" i="4"/>
  <c r="C200" i="4"/>
  <c r="B10" i="1"/>
  <c r="B5" i="2"/>
  <c r="B13" i="2" s="1"/>
  <c r="B15" i="2" s="1"/>
</calcChain>
</file>

<file path=xl/sharedStrings.xml><?xml version="1.0" encoding="utf-8"?>
<sst xmlns="http://schemas.openxmlformats.org/spreadsheetml/2006/main" count="141" uniqueCount="132">
  <si>
    <t>Nachlasssache Klas Krüger</t>
  </si>
  <si>
    <t>Nachlassverzeichnis auf den Sterbetag 05.02.2026</t>
  </si>
  <si>
    <t>Wert</t>
  </si>
  <si>
    <t>Wert per</t>
  </si>
  <si>
    <t>Aktiva</t>
  </si>
  <si>
    <t>Depot Fisher Investments (KNR 1181314814)</t>
  </si>
  <si>
    <t>Depot comdirect 118 728563800, sonstiges</t>
  </si>
  <si>
    <t>Depot comdirect 118 728563800, Aktien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</si>
  <si>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>5258263660</t>
    </r>
  </si>
  <si>
    <t>Berechnung der jährlichen Ausschüttungen aus Dividenden/Zinzen abzg. Kosten</t>
  </si>
  <si>
    <t>Fisher Depot</t>
  </si>
  <si>
    <t>comdirect Aktien</t>
  </si>
  <si>
    <t>Summe</t>
  </si>
  <si>
    <t>Es gibt auf Aktien durchschnittlich 3% Dividende pro Jahr</t>
  </si>
  <si>
    <t>Von der Dividende müssen 26%  Abgeltungssteuer bezahlt werden</t>
  </si>
  <si>
    <t xml:space="preserve">Fisher berechnet ab 1 Mio Depotvermögen 1% Managementgebühr pro Jahr, </t>
  </si>
  <si>
    <t>die muss der Nießbrauch-Nutzer tragen. KI-Antwort auf Frage „Muss der Nießbraucher die Verwaltungskosten eines Aktiendepots tragen?“.</t>
  </si>
  <si>
    <t>Dividende abzüglich Steuern</t>
  </si>
  <si>
    <t>Fisher Gebühren</t>
  </si>
  <si>
    <t>Vermögenswert</t>
  </si>
  <si>
    <t>Erbschaftssteuer Untergrenze</t>
  </si>
  <si>
    <t>Erbschaftssteuer Obergrenze</t>
  </si>
  <si>
    <t>vermutliche Erbschaftssteuer</t>
  </si>
  <si>
    <t>Abbott</t>
  </si>
  <si>
    <t>Airbus</t>
  </si>
  <si>
    <t>Alphabet</t>
  </si>
  <si>
    <t>American Exp</t>
  </si>
  <si>
    <t>American Tower</t>
  </si>
  <si>
    <t>Amgen</t>
  </si>
  <si>
    <t>Anheuser-Busch</t>
  </si>
  <si>
    <t>Apple</t>
  </si>
  <si>
    <t>ASML</t>
  </si>
  <si>
    <t>AstraZeneca</t>
  </si>
  <si>
    <t>Banco Bilbao</t>
  </si>
  <si>
    <t>Banc of America</t>
  </si>
  <si>
    <t>BHP</t>
  </si>
  <si>
    <t>BlackRock</t>
  </si>
  <si>
    <t>BNP Paribas</t>
  </si>
  <si>
    <t>BP</t>
  </si>
  <si>
    <t>Broadcom</t>
  </si>
  <si>
    <t>Canadian</t>
  </si>
  <si>
    <t>Carrier</t>
  </si>
  <si>
    <t>Caterpillar</t>
  </si>
  <si>
    <t>Charles Schwab</t>
  </si>
  <si>
    <t>Chevron</t>
  </si>
  <si>
    <t>Cisco</t>
  </si>
  <si>
    <t>Citigroup</t>
  </si>
  <si>
    <t>Commonwealth</t>
  </si>
  <si>
    <t>Costco</t>
  </si>
  <si>
    <t>Daimler</t>
  </si>
  <si>
    <t>Danaher</t>
  </si>
  <si>
    <t>Deutsche Bank</t>
  </si>
  <si>
    <t>Deutsche Telekom</t>
  </si>
  <si>
    <t>Eli Lilly</t>
  </si>
  <si>
    <t>EOG</t>
  </si>
  <si>
    <t>Exxon</t>
  </si>
  <si>
    <t>Exxon 2</t>
  </si>
  <si>
    <t>Freeport</t>
  </si>
  <si>
    <t>GE Aerospace</t>
  </si>
  <si>
    <t>Goldman Sachs</t>
  </si>
  <si>
    <t>GSK</t>
  </si>
  <si>
    <t>HSBC</t>
  </si>
  <si>
    <t>ING Groep</t>
  </si>
  <si>
    <t>Intesa</t>
  </si>
  <si>
    <t>Johnson</t>
  </si>
  <si>
    <t>JP Morgan</t>
  </si>
  <si>
    <t>Lioyds</t>
  </si>
  <si>
    <t>L'Oreal</t>
  </si>
  <si>
    <t>LVMH</t>
  </si>
  <si>
    <t>Mastercard</t>
  </si>
  <si>
    <t>Merck &amp; Co</t>
  </si>
  <si>
    <t>Meta</t>
  </si>
  <si>
    <t>Microsoft</t>
  </si>
  <si>
    <t>Mitsubishi</t>
  </si>
  <si>
    <t>Moncler</t>
  </si>
  <si>
    <t>Morgan Stanley</t>
  </si>
  <si>
    <t>NatWest</t>
  </si>
  <si>
    <t>Nestle</t>
  </si>
  <si>
    <t>Nordea</t>
  </si>
  <si>
    <t>Novartis</t>
  </si>
  <si>
    <t>Novo Nordisk</t>
  </si>
  <si>
    <t>Nvidia</t>
  </si>
  <si>
    <t>Oracle</t>
  </si>
  <si>
    <t>Parker-Hannifin</t>
  </si>
  <si>
    <t>Pepsi</t>
  </si>
  <si>
    <t>Pfizer</t>
  </si>
  <si>
    <t>Procter</t>
  </si>
  <si>
    <t>Raytheon</t>
  </si>
  <si>
    <t>Rio</t>
  </si>
  <si>
    <t>Rolls-Royce</t>
  </si>
  <si>
    <t>Royal Bank of Canada</t>
  </si>
  <si>
    <t>Salesforce</t>
  </si>
  <si>
    <t>Sanofi</t>
  </si>
  <si>
    <t>SAP</t>
  </si>
  <si>
    <t>Shell</t>
  </si>
  <si>
    <t>Siemens</t>
  </si>
  <si>
    <t>Sony</t>
  </si>
  <si>
    <t>Starbucks</t>
  </si>
  <si>
    <t>Stryker</t>
  </si>
  <si>
    <t>Taiwan Semicon</t>
  </si>
  <si>
    <t>The Home Depot</t>
  </si>
  <si>
    <t>Thermo Fisher</t>
  </si>
  <si>
    <t>TotalEnergies</t>
  </si>
  <si>
    <t>UBS</t>
  </si>
  <si>
    <t>Unilever</t>
  </si>
  <si>
    <t>Union Pacific</t>
  </si>
  <si>
    <t>UnitedHealth</t>
  </si>
  <si>
    <t>Visa</t>
  </si>
  <si>
    <t>Walmart</t>
  </si>
  <si>
    <t>Summe Steuern 25/26</t>
  </si>
  <si>
    <t>Summ Einnahmen 25/26</t>
  </si>
  <si>
    <t>Summe Einnahmen 25</t>
  </si>
  <si>
    <t>Summe Steuern 25</t>
  </si>
  <si>
    <t>Erträge 2025</t>
  </si>
  <si>
    <t>Einnahmen - Steuern 26</t>
  </si>
  <si>
    <t>Summe Einnahmen 26</t>
  </si>
  <si>
    <t>Summe Steuern 26</t>
  </si>
  <si>
    <t>Einnahmen - Steuern 25</t>
  </si>
  <si>
    <t>comdirect Depot</t>
  </si>
  <si>
    <t>Erträge 2026</t>
  </si>
  <si>
    <t>Fisher Depot bis 30.9.2026</t>
  </si>
  <si>
    <t>Umsätze erweitert Erträge 1.1.2026 - 30.09.2026  Datei: Dividendenübersicht vom 01.01.2025 - 30.09.2026.pdf</t>
  </si>
  <si>
    <t>Girokonto</t>
  </si>
  <si>
    <t>Tagesgeld</t>
  </si>
  <si>
    <t>Verrechnung</t>
  </si>
  <si>
    <t>Depot</t>
  </si>
  <si>
    <t xml:space="preserve">Ertragsgutschrift </t>
  </si>
  <si>
    <t>Storno Ertragsgutschrift</t>
  </si>
  <si>
    <t>Zinsen</t>
  </si>
  <si>
    <t>Basiert auf Finanzreports 01-12/2025</t>
  </si>
  <si>
    <t>Übertrag</t>
  </si>
  <si>
    <t>Fisher Depot Managementgebühren 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</si>
</sst>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  <charset val="1"/>
    </font>
    <font>
      <sz val="10.5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4" fontId="0" fillId="0" borderId="0" xfId="0" applyNumberFormat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zoomScale="160" zoomScaleNormal="160" workbookViewId="0">
      <selection activeCell="A11" sqref="A11"/>
    </sheetView>
  </sheetViews>
  <sheetFormatPr baseColWidth="10" defaultColWidth="11.5703125" defaultRowHeight="12.75" x14ac:dyDescent="0.2"/>
  <cols>
    <col min="1" max="1" width="44" customWidth="1"/>
  </cols>
  <sheetData>
    <row r="1" spans="1:3" x14ac:dyDescent="0.2">
      <c r="A1" t="s">
        <v>0</v>
      </c>
    </row>
    <row r="2" spans="1:3" x14ac:dyDescent="0.2">
      <c r="A2" t="s">
        <v>1</v>
      </c>
    </row>
    <row r="3" spans="1:3" x14ac:dyDescent="0.2">
      <c r="B3" t="s">
        <v>2</v>
      </c>
      <c r="C3" t="s">
        <v>3</v>
      </c>
    </row>
    <row r="4" spans="1:3" x14ac:dyDescent="0.2">
      <c r="A4" t="s">
        <v>4</v>
      </c>
    </row>
    <row r="5" spans="1:3" x14ac:dyDescent="0.2">
      <c r="A5" t="s">
        <v>5</v>
      </c>
      <c r="B5">
        <v>1342014.7</v>
      </c>
      <c r="C5" s="1">
        <v>46085</v>
      </c>
    </row>
    <row r="6" spans="1:3" x14ac:dyDescent="0.2">
      <c r="A6" t="s">
        <v>6</v>
      </c>
      <c r="B6">
        <v>51489.36</v>
      </c>
      <c r="C6" s="1">
        <v>46055</v>
      </c>
    </row>
    <row r="7" spans="1:3" x14ac:dyDescent="0.2">
      <c r="A7" t="s">
        <v>7</v>
      </c>
      <c r="B7">
        <v>58948.58</v>
      </c>
      <c r="C7" s="1">
        <v>46055</v>
      </c>
    </row>
    <row r="8" spans="1:3" ht="13.5" x14ac:dyDescent="0.2">
      <c r="A8" t="s">
        <v>8</v>
      </c>
      <c r="B8">
        <v>1100</v>
      </c>
      <c r="C8" s="1">
        <v>46056</v>
      </c>
    </row>
    <row r="10" spans="1:3" x14ac:dyDescent="0.2">
      <c r="A10" t="s">
        <v>12</v>
      </c>
      <c r="B10">
        <f>SUM(B5:B9)</f>
        <v>1453552.6400000001</v>
      </c>
    </row>
    <row r="13" spans="1:3" x14ac:dyDescent="0.2">
      <c r="A13" t="s">
        <v>113</v>
      </c>
      <c r="B13" s="2">
        <f>B14+B16</f>
        <v>18180</v>
      </c>
    </row>
    <row r="14" spans="1:3" x14ac:dyDescent="0.2">
      <c r="A14" t="s">
        <v>10</v>
      </c>
      <c r="B14" s="2">
        <v>16767</v>
      </c>
    </row>
    <row r="15" spans="1:3" x14ac:dyDescent="0.2">
      <c r="A15" t="s">
        <v>131</v>
      </c>
    </row>
    <row r="16" spans="1:3" x14ac:dyDescent="0.2">
      <c r="A16" t="s">
        <v>118</v>
      </c>
      <c r="B16">
        <v>1413</v>
      </c>
    </row>
    <row r="18" spans="1:2" x14ac:dyDescent="0.2">
      <c r="A18" t="s">
        <v>119</v>
      </c>
    </row>
    <row r="19" spans="1:2" x14ac:dyDescent="0.2">
      <c r="A19" t="s">
        <v>120</v>
      </c>
      <c r="B19">
        <v>12725.69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&amp;C&amp;"Aptos"&amp;10&amp;K0000FF Internal&amp;1#_x000D_&amp;"Arial"&amp;10&amp;K000000&amp;"Times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zoomScale="160" zoomScaleNormal="160" workbookViewId="0">
      <selection activeCell="B23" sqref="B23"/>
    </sheetView>
  </sheetViews>
  <sheetFormatPr baseColWidth="10" defaultColWidth="11.5703125" defaultRowHeight="12.75" x14ac:dyDescent="0.2"/>
  <cols>
    <col min="1" max="1" width="26.140625" customWidth="1"/>
    <col min="2" max="2" width="15.42578125" style="2" customWidth="1"/>
  </cols>
  <sheetData>
    <row r="1" spans="1:2" x14ac:dyDescent="0.2">
      <c r="A1" t="s">
        <v>9</v>
      </c>
    </row>
    <row r="3" spans="1:2" x14ac:dyDescent="0.2">
      <c r="A3" t="s">
        <v>10</v>
      </c>
      <c r="B3" s="2">
        <v>1342014.7</v>
      </c>
    </row>
    <row r="4" spans="1:2" x14ac:dyDescent="0.2">
      <c r="A4" t="s">
        <v>11</v>
      </c>
      <c r="B4" s="2">
        <v>58948.58</v>
      </c>
    </row>
    <row r="5" spans="1:2" x14ac:dyDescent="0.2">
      <c r="A5" t="s">
        <v>12</v>
      </c>
      <c r="B5" s="2">
        <f>SUM(B3:B4)</f>
        <v>1400963.28</v>
      </c>
    </row>
    <row r="8" spans="1:2" x14ac:dyDescent="0.2">
      <c r="A8" t="s">
        <v>13</v>
      </c>
    </row>
    <row r="9" spans="1:2" x14ac:dyDescent="0.2">
      <c r="A9" t="s">
        <v>14</v>
      </c>
    </row>
    <row r="10" spans="1:2" x14ac:dyDescent="0.2">
      <c r="A10" t="s">
        <v>15</v>
      </c>
    </row>
    <row r="11" spans="1:2" x14ac:dyDescent="0.2">
      <c r="A11" t="s">
        <v>16</v>
      </c>
    </row>
    <row r="13" spans="1:2" x14ac:dyDescent="0.2">
      <c r="A13" t="s">
        <v>17</v>
      </c>
      <c r="B13" s="2">
        <f>B5 * 0.03 * 0.74</f>
        <v>31101.384815999998</v>
      </c>
    </row>
    <row r="14" spans="1:2" x14ac:dyDescent="0.2">
      <c r="A14" t="s">
        <v>18</v>
      </c>
      <c r="B14" s="2">
        <f>-B3*0.01</f>
        <v>-13420.146999999999</v>
      </c>
    </row>
    <row r="15" spans="1:2" x14ac:dyDescent="0.2">
      <c r="A15" t="s">
        <v>12</v>
      </c>
      <c r="B15" s="2">
        <f>SUM(B13:B14)</f>
        <v>17681.237816000001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&amp;C&amp;"Aptos"&amp;10&amp;K0000FF Internal&amp;1#_x000D_&amp;"Arial"&amp;10&amp;K000000&amp;"Times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666DA-C281-470C-A7EA-765BF94B6EE5}">
  <dimension ref="A1:G200"/>
  <sheetViews>
    <sheetView workbookViewId="0">
      <selection activeCell="A2" sqref="A2"/>
    </sheetView>
  </sheetViews>
  <sheetFormatPr baseColWidth="10" defaultRowHeight="12.75" x14ac:dyDescent="0.2"/>
  <cols>
    <col min="2" max="2" width="14.28515625" bestFit="1" customWidth="1"/>
    <col min="6" max="6" width="24.28515625" bestFit="1" customWidth="1"/>
  </cols>
  <sheetData>
    <row r="1" spans="1:7" x14ac:dyDescent="0.2">
      <c r="A1" t="s">
        <v>121</v>
      </c>
    </row>
    <row r="3" spans="1:7" x14ac:dyDescent="0.2">
      <c r="A3" s="3">
        <v>46069</v>
      </c>
      <c r="B3" t="s">
        <v>23</v>
      </c>
      <c r="C3">
        <v>17.48</v>
      </c>
      <c r="D3">
        <v>-2.62</v>
      </c>
      <c r="F3" t="s">
        <v>110</v>
      </c>
      <c r="G3" s="2">
        <v>41991.040000000001</v>
      </c>
    </row>
    <row r="4" spans="1:7" x14ac:dyDescent="0.2">
      <c r="A4" s="3">
        <v>46135</v>
      </c>
      <c r="B4" t="s">
        <v>24</v>
      </c>
      <c r="C4">
        <v>163.19999999999999</v>
      </c>
      <c r="D4">
        <v>-41.69</v>
      </c>
      <c r="F4" t="s">
        <v>109</v>
      </c>
      <c r="G4" s="2">
        <v>-12498.35</v>
      </c>
    </row>
    <row r="5" spans="1:7" x14ac:dyDescent="0.2">
      <c r="A5" s="3">
        <v>46098</v>
      </c>
      <c r="B5" t="s">
        <v>25</v>
      </c>
      <c r="C5">
        <v>36.119999999999997</v>
      </c>
      <c r="D5">
        <v>-14.63</v>
      </c>
    </row>
    <row r="6" spans="1:7" x14ac:dyDescent="0.2">
      <c r="A6" s="3">
        <v>46189</v>
      </c>
      <c r="C6">
        <v>29.86</v>
      </c>
      <c r="D6">
        <v>-12.11</v>
      </c>
      <c r="F6" t="s">
        <v>115</v>
      </c>
      <c r="G6">
        <f>SUM(C3:C198)</f>
        <v>18602.410000000003</v>
      </c>
    </row>
    <row r="7" spans="1:7" x14ac:dyDescent="0.2">
      <c r="A7" s="3">
        <v>46280</v>
      </c>
      <c r="C7">
        <v>30.04</v>
      </c>
      <c r="D7">
        <v>-12.17</v>
      </c>
      <c r="F7" t="s">
        <v>116</v>
      </c>
      <c r="G7">
        <f>SUM(D3:D199)</f>
        <v>-5876.7200000000021</v>
      </c>
    </row>
    <row r="8" spans="1:7" x14ac:dyDescent="0.2">
      <c r="A8" s="3">
        <v>46064</v>
      </c>
      <c r="B8" t="s">
        <v>26</v>
      </c>
      <c r="C8">
        <v>50.15</v>
      </c>
      <c r="D8">
        <v>-7.52</v>
      </c>
      <c r="F8" t="s">
        <v>114</v>
      </c>
      <c r="G8">
        <f>G6+G7</f>
        <v>12725.690000000002</v>
      </c>
    </row>
    <row r="9" spans="1:7" x14ac:dyDescent="0.2">
      <c r="A9" s="3">
        <v>46153</v>
      </c>
      <c r="C9">
        <v>58.79</v>
      </c>
      <c r="D9">
        <v>-23.84</v>
      </c>
    </row>
    <row r="10" spans="1:7" x14ac:dyDescent="0.2">
      <c r="A10" s="3">
        <v>46245</v>
      </c>
      <c r="C10">
        <v>44.27</v>
      </c>
      <c r="D10">
        <v>-17.95</v>
      </c>
      <c r="F10" t="s">
        <v>111</v>
      </c>
      <c r="G10" s="2">
        <f>G3-G6</f>
        <v>23388.629999999997</v>
      </c>
    </row>
    <row r="11" spans="1:7" x14ac:dyDescent="0.2">
      <c r="A11" s="3">
        <v>46056</v>
      </c>
      <c r="B11" t="s">
        <v>27</v>
      </c>
      <c r="C11">
        <v>41.44</v>
      </c>
      <c r="D11">
        <v>-6.22</v>
      </c>
      <c r="F11" t="s">
        <v>112</v>
      </c>
      <c r="G11" s="2">
        <f>G4-G7</f>
        <v>-6621.6299999999983</v>
      </c>
    </row>
    <row r="12" spans="1:7" x14ac:dyDescent="0.2">
      <c r="A12" s="3">
        <v>46141</v>
      </c>
      <c r="C12">
        <v>44.28</v>
      </c>
      <c r="D12">
        <v>-17.95</v>
      </c>
      <c r="F12" t="s">
        <v>117</v>
      </c>
      <c r="G12" s="2">
        <f>G10+G11</f>
        <v>16767</v>
      </c>
    </row>
    <row r="13" spans="1:7" x14ac:dyDescent="0.2">
      <c r="A13" s="3">
        <v>46217</v>
      </c>
      <c r="C13">
        <v>45.27</v>
      </c>
      <c r="D13">
        <v>-18.350000000000001</v>
      </c>
    </row>
    <row r="14" spans="1:7" x14ac:dyDescent="0.2">
      <c r="A14" s="3">
        <v>46181</v>
      </c>
      <c r="B14" t="s">
        <v>28</v>
      </c>
      <c r="C14">
        <v>45.35</v>
      </c>
      <c r="D14">
        <v>-18.39</v>
      </c>
    </row>
    <row r="15" spans="1:7" x14ac:dyDescent="0.2">
      <c r="A15" s="3">
        <v>46279</v>
      </c>
      <c r="C15">
        <v>78.05</v>
      </c>
      <c r="D15">
        <v>-31.64</v>
      </c>
    </row>
    <row r="16" spans="1:7" x14ac:dyDescent="0.2">
      <c r="A16" s="3">
        <v>46153</v>
      </c>
      <c r="B16" t="s">
        <v>29</v>
      </c>
      <c r="C16">
        <v>114</v>
      </c>
      <c r="D16">
        <v>-64.260000000000005</v>
      </c>
    </row>
    <row r="17" spans="1:4" x14ac:dyDescent="0.2">
      <c r="A17" s="3">
        <v>46066</v>
      </c>
      <c r="B17" t="s">
        <v>30</v>
      </c>
      <c r="C17">
        <v>60.44</v>
      </c>
      <c r="D17">
        <v>-9.06</v>
      </c>
    </row>
    <row r="18" spans="1:4" x14ac:dyDescent="0.2">
      <c r="A18" s="3">
        <v>46157</v>
      </c>
      <c r="C18">
        <v>63.71</v>
      </c>
      <c r="D18">
        <v>-25.84</v>
      </c>
    </row>
    <row r="19" spans="1:4" x14ac:dyDescent="0.2">
      <c r="A19" s="3">
        <v>46248</v>
      </c>
      <c r="C19">
        <v>51.13</v>
      </c>
      <c r="D19">
        <v>-20.73</v>
      </c>
    </row>
    <row r="20" spans="1:4" x14ac:dyDescent="0.2">
      <c r="A20" s="3">
        <v>46071</v>
      </c>
      <c r="B20" t="s">
        <v>31</v>
      </c>
      <c r="C20">
        <v>41.6</v>
      </c>
      <c r="D20">
        <v>-6.24</v>
      </c>
    </row>
    <row r="21" spans="1:4" x14ac:dyDescent="0.2">
      <c r="A21" s="3">
        <v>46147</v>
      </c>
      <c r="C21">
        <v>70.2</v>
      </c>
      <c r="D21">
        <v>-17.93</v>
      </c>
    </row>
    <row r="22" spans="1:4" x14ac:dyDescent="0.2">
      <c r="A22" s="3">
        <v>46239</v>
      </c>
      <c r="C22">
        <v>41.36</v>
      </c>
      <c r="D22">
        <v>-10.56</v>
      </c>
    </row>
    <row r="23" spans="1:4" x14ac:dyDescent="0.2">
      <c r="A23" s="3">
        <v>46107</v>
      </c>
      <c r="B23" t="s">
        <v>32</v>
      </c>
      <c r="C23">
        <v>110.5</v>
      </c>
      <c r="D23">
        <v>-29.14</v>
      </c>
    </row>
    <row r="24" spans="1:4" x14ac:dyDescent="0.2">
      <c r="A24" s="3">
        <v>46275</v>
      </c>
      <c r="C24">
        <v>53.72</v>
      </c>
      <c r="D24">
        <v>-14.16</v>
      </c>
    </row>
    <row r="25" spans="1:4" x14ac:dyDescent="0.2">
      <c r="A25" s="3">
        <v>46122</v>
      </c>
      <c r="B25" t="s">
        <v>33</v>
      </c>
      <c r="C25">
        <v>195.6</v>
      </c>
      <c r="D25">
        <v>-57.79</v>
      </c>
    </row>
    <row r="26" spans="1:4" x14ac:dyDescent="0.2">
      <c r="A26" s="3">
        <v>46111</v>
      </c>
      <c r="B26" t="s">
        <v>34</v>
      </c>
      <c r="C26">
        <v>37.130000000000003</v>
      </c>
      <c r="D26">
        <v>-15.05</v>
      </c>
    </row>
    <row r="27" spans="1:4" x14ac:dyDescent="0.2">
      <c r="A27" s="3">
        <v>46202</v>
      </c>
      <c r="C27">
        <v>37.46</v>
      </c>
      <c r="D27">
        <v>-15.19</v>
      </c>
    </row>
    <row r="28" spans="1:4" x14ac:dyDescent="0.2">
      <c r="A28" s="3">
        <v>46293</v>
      </c>
      <c r="C28">
        <v>42.84</v>
      </c>
      <c r="D28">
        <v>-17.36</v>
      </c>
    </row>
    <row r="29" spans="1:4" x14ac:dyDescent="0.2">
      <c r="A29" s="3">
        <v>46108</v>
      </c>
      <c r="B29" t="s">
        <v>35</v>
      </c>
      <c r="C29">
        <v>279.67</v>
      </c>
      <c r="D29">
        <v>-73.760000000000005</v>
      </c>
    </row>
    <row r="30" spans="1:4" x14ac:dyDescent="0.2">
      <c r="A30" s="3">
        <v>46289</v>
      </c>
      <c r="C30">
        <v>241.69</v>
      </c>
      <c r="D30">
        <v>-63.74</v>
      </c>
    </row>
    <row r="31" spans="1:4" x14ac:dyDescent="0.2">
      <c r="A31" s="3">
        <v>46106</v>
      </c>
      <c r="B31" t="s">
        <v>36</v>
      </c>
      <c r="C31">
        <v>49.31</v>
      </c>
      <c r="D31">
        <v>-19.989999999999998</v>
      </c>
    </row>
    <row r="32" spans="1:4" x14ac:dyDescent="0.2">
      <c r="A32" s="3">
        <v>46197</v>
      </c>
      <c r="C32">
        <v>50.13</v>
      </c>
      <c r="D32">
        <v>-20.32</v>
      </c>
    </row>
    <row r="33" spans="1:4" x14ac:dyDescent="0.2">
      <c r="A33" s="3">
        <v>46288</v>
      </c>
      <c r="C33">
        <v>49.84</v>
      </c>
      <c r="D33">
        <v>-20.2</v>
      </c>
    </row>
    <row r="34" spans="1:4" x14ac:dyDescent="0.2">
      <c r="A34" s="3">
        <v>46163</v>
      </c>
      <c r="B34" t="s">
        <v>37</v>
      </c>
      <c r="C34">
        <v>182.47</v>
      </c>
      <c r="D34">
        <v>-69.099999999999994</v>
      </c>
    </row>
    <row r="35" spans="1:4" x14ac:dyDescent="0.2">
      <c r="A35" s="3">
        <v>46111</v>
      </c>
      <c r="B35" t="s">
        <v>38</v>
      </c>
      <c r="C35">
        <v>196.15</v>
      </c>
      <c r="D35">
        <v>-51.73</v>
      </c>
    </row>
    <row r="36" spans="1:4" x14ac:dyDescent="0.2">
      <c r="A36" s="3">
        <v>46024</v>
      </c>
      <c r="B36" t="s">
        <v>39</v>
      </c>
      <c r="C36">
        <v>50.22</v>
      </c>
      <c r="D36">
        <v>-13.16</v>
      </c>
    </row>
    <row r="37" spans="1:4" x14ac:dyDescent="0.2">
      <c r="A37" s="3">
        <v>46113</v>
      </c>
      <c r="C37">
        <v>51.48</v>
      </c>
      <c r="D37">
        <v>-20.88</v>
      </c>
    </row>
    <row r="38" spans="1:4" x14ac:dyDescent="0.2">
      <c r="A38" s="3">
        <v>46204</v>
      </c>
      <c r="C38">
        <v>40.93</v>
      </c>
      <c r="D38">
        <v>-16.59</v>
      </c>
    </row>
    <row r="39" spans="1:4" x14ac:dyDescent="0.2">
      <c r="A39" s="3">
        <v>46049</v>
      </c>
      <c r="B39" t="s">
        <v>40</v>
      </c>
      <c r="C39">
        <v>15.54</v>
      </c>
      <c r="D39">
        <v>-3.89</v>
      </c>
    </row>
    <row r="40" spans="1:4" x14ac:dyDescent="0.2">
      <c r="A40" s="3">
        <v>46140</v>
      </c>
      <c r="C40">
        <v>15.78</v>
      </c>
      <c r="D40">
        <v>-5.6</v>
      </c>
    </row>
    <row r="41" spans="1:4" x14ac:dyDescent="0.2">
      <c r="A41" s="3">
        <v>46231</v>
      </c>
      <c r="C41">
        <v>18.440000000000001</v>
      </c>
      <c r="D41">
        <v>-6.56</v>
      </c>
    </row>
    <row r="42" spans="1:4" x14ac:dyDescent="0.2">
      <c r="A42" s="3">
        <v>46063</v>
      </c>
      <c r="B42" t="s">
        <v>41</v>
      </c>
      <c r="C42">
        <v>71.19</v>
      </c>
      <c r="D42">
        <v>-10.68</v>
      </c>
    </row>
    <row r="43" spans="1:4" x14ac:dyDescent="0.2">
      <c r="A43" s="3">
        <v>46167</v>
      </c>
      <c r="C43">
        <v>72.86</v>
      </c>
      <c r="D43">
        <v>-29.55</v>
      </c>
    </row>
    <row r="44" spans="1:4" x14ac:dyDescent="0.2">
      <c r="A44" s="3">
        <v>46245</v>
      </c>
      <c r="C44">
        <v>55.1</v>
      </c>
      <c r="D44">
        <v>-22.34</v>
      </c>
    </row>
    <row r="45" spans="1:4" x14ac:dyDescent="0.2">
      <c r="A45" s="3">
        <v>46073</v>
      </c>
      <c r="B45" t="s">
        <v>42</v>
      </c>
      <c r="C45">
        <v>75.430000000000007</v>
      </c>
      <c r="D45">
        <v>-11.31</v>
      </c>
    </row>
    <row r="46" spans="1:4" x14ac:dyDescent="0.2">
      <c r="A46" s="3">
        <v>46162</v>
      </c>
      <c r="C46">
        <v>76.45</v>
      </c>
      <c r="D46">
        <v>-31</v>
      </c>
    </row>
    <row r="47" spans="1:4" x14ac:dyDescent="0.2">
      <c r="A47" s="3">
        <v>46254</v>
      </c>
      <c r="C47">
        <v>63.04</v>
      </c>
      <c r="D47">
        <v>-25.56</v>
      </c>
    </row>
    <row r="48" spans="1:4" x14ac:dyDescent="0.2">
      <c r="A48" s="3">
        <v>46083</v>
      </c>
      <c r="B48" t="s">
        <v>43</v>
      </c>
      <c r="C48">
        <v>32.729999999999997</v>
      </c>
      <c r="D48">
        <v>-8.56</v>
      </c>
    </row>
    <row r="49" spans="1:4" x14ac:dyDescent="0.2">
      <c r="A49" s="3">
        <v>46167</v>
      </c>
      <c r="C49">
        <v>33.299999999999997</v>
      </c>
      <c r="D49">
        <v>-13.5</v>
      </c>
    </row>
    <row r="50" spans="1:4" x14ac:dyDescent="0.2">
      <c r="A50" s="3">
        <v>46265</v>
      </c>
      <c r="C50">
        <v>33.15</v>
      </c>
      <c r="D50">
        <v>-13.45</v>
      </c>
    </row>
    <row r="51" spans="1:4" x14ac:dyDescent="0.2">
      <c r="A51" s="3">
        <v>46092</v>
      </c>
      <c r="B51" t="s">
        <v>44</v>
      </c>
      <c r="C51">
        <v>184.55</v>
      </c>
      <c r="D51">
        <v>-74.83</v>
      </c>
    </row>
    <row r="52" spans="1:4" x14ac:dyDescent="0.2">
      <c r="A52" s="3">
        <v>46184</v>
      </c>
      <c r="C52">
        <v>142.91</v>
      </c>
      <c r="D52">
        <v>-57.94</v>
      </c>
    </row>
    <row r="53" spans="1:4" x14ac:dyDescent="0.2">
      <c r="A53" s="3">
        <v>46276</v>
      </c>
      <c r="C53">
        <v>141.97999999999999</v>
      </c>
      <c r="D53">
        <v>-57.57</v>
      </c>
    </row>
    <row r="54" spans="1:4" x14ac:dyDescent="0.2">
      <c r="A54" s="3">
        <v>46135</v>
      </c>
      <c r="B54" t="s">
        <v>45</v>
      </c>
      <c r="C54">
        <v>35.64</v>
      </c>
      <c r="D54">
        <v>-14.44</v>
      </c>
    </row>
    <row r="55" spans="1:4" x14ac:dyDescent="0.2">
      <c r="A55" s="3">
        <v>46226</v>
      </c>
      <c r="C55">
        <v>36.729999999999997</v>
      </c>
      <c r="D55">
        <v>-14.89</v>
      </c>
    </row>
    <row r="56" spans="1:4" x14ac:dyDescent="0.2">
      <c r="A56" s="3">
        <v>46083</v>
      </c>
      <c r="B56" t="s">
        <v>46</v>
      </c>
      <c r="C56">
        <v>120.19</v>
      </c>
      <c r="D56">
        <v>-31.48</v>
      </c>
    </row>
    <row r="57" spans="1:4" x14ac:dyDescent="0.2">
      <c r="A57" s="3">
        <v>46167</v>
      </c>
      <c r="C57">
        <v>122.29</v>
      </c>
      <c r="D57">
        <v>-49.59</v>
      </c>
    </row>
    <row r="58" spans="1:4" x14ac:dyDescent="0.2">
      <c r="A58" s="3">
        <v>46265</v>
      </c>
      <c r="C58">
        <v>99.81</v>
      </c>
      <c r="D58">
        <v>-40.46</v>
      </c>
    </row>
    <row r="59" spans="1:4" x14ac:dyDescent="0.2">
      <c r="A59" s="3">
        <v>46112</v>
      </c>
      <c r="B59" t="s">
        <v>47</v>
      </c>
      <c r="C59">
        <v>109.14</v>
      </c>
      <c r="D59">
        <v>-28.79</v>
      </c>
    </row>
    <row r="60" spans="1:4" x14ac:dyDescent="0.2">
      <c r="A60" s="3">
        <v>46295</v>
      </c>
      <c r="C60">
        <v>129.53</v>
      </c>
      <c r="D60">
        <v>-34.159999999999997</v>
      </c>
    </row>
    <row r="61" spans="1:4" x14ac:dyDescent="0.2">
      <c r="A61" s="3">
        <v>46069</v>
      </c>
      <c r="B61" t="s">
        <v>48</v>
      </c>
      <c r="C61">
        <v>19.68</v>
      </c>
      <c r="D61">
        <v>-2.95</v>
      </c>
    </row>
    <row r="62" spans="1:4" x14ac:dyDescent="0.2">
      <c r="A62" s="3">
        <v>46160</v>
      </c>
      <c r="C62">
        <v>22.66</v>
      </c>
      <c r="D62">
        <v>-9.18</v>
      </c>
    </row>
    <row r="63" spans="1:4" x14ac:dyDescent="0.2">
      <c r="A63" s="3">
        <v>46244</v>
      </c>
      <c r="C63">
        <v>16.54</v>
      </c>
      <c r="D63">
        <v>-6.7</v>
      </c>
    </row>
    <row r="64" spans="1:4" x14ac:dyDescent="0.2">
      <c r="A64" s="3">
        <v>46153</v>
      </c>
      <c r="B64" t="s">
        <v>49</v>
      </c>
      <c r="C64">
        <v>758.1</v>
      </c>
      <c r="D64">
        <v>-199.95</v>
      </c>
    </row>
    <row r="65" spans="1:4" x14ac:dyDescent="0.2">
      <c r="A65" s="3">
        <v>46055</v>
      </c>
      <c r="B65" t="s">
        <v>50</v>
      </c>
      <c r="C65">
        <v>12.02</v>
      </c>
      <c r="D65">
        <v>-1.8</v>
      </c>
    </row>
    <row r="66" spans="1:4" x14ac:dyDescent="0.2">
      <c r="A66" s="3">
        <v>46139</v>
      </c>
      <c r="C66">
        <v>15.34</v>
      </c>
      <c r="D66">
        <v>-6.22</v>
      </c>
    </row>
    <row r="67" spans="1:4" x14ac:dyDescent="0.2">
      <c r="A67" s="3">
        <v>46238</v>
      </c>
      <c r="C67">
        <v>15.61</v>
      </c>
      <c r="D67">
        <v>-6.32</v>
      </c>
    </row>
    <row r="68" spans="1:4" x14ac:dyDescent="0.2">
      <c r="A68" s="3">
        <v>46175</v>
      </c>
      <c r="B68" t="s">
        <v>51</v>
      </c>
      <c r="C68">
        <v>267</v>
      </c>
      <c r="D68">
        <v>-70.42</v>
      </c>
    </row>
    <row r="69" spans="1:4" x14ac:dyDescent="0.2">
      <c r="A69" s="3">
        <v>46120</v>
      </c>
      <c r="B69" t="s">
        <v>52</v>
      </c>
      <c r="C69">
        <v>178</v>
      </c>
      <c r="D69">
        <v>0</v>
      </c>
    </row>
    <row r="70" spans="1:4" x14ac:dyDescent="0.2">
      <c r="A70" s="3">
        <v>46276</v>
      </c>
      <c r="B70" t="s">
        <v>53</v>
      </c>
      <c r="C70">
        <v>14.84</v>
      </c>
      <c r="D70">
        <v>-6.01</v>
      </c>
    </row>
    <row r="71" spans="1:4" x14ac:dyDescent="0.2">
      <c r="A71" s="3">
        <v>46055</v>
      </c>
      <c r="B71" t="s">
        <v>54</v>
      </c>
      <c r="C71">
        <v>87.7</v>
      </c>
      <c r="D71">
        <v>-13.16</v>
      </c>
    </row>
    <row r="72" spans="1:4" x14ac:dyDescent="0.2">
      <c r="A72" s="3">
        <v>46146</v>
      </c>
      <c r="C72">
        <v>89.45</v>
      </c>
      <c r="D72">
        <v>-36.270000000000003</v>
      </c>
    </row>
    <row r="73" spans="1:4" x14ac:dyDescent="0.2">
      <c r="A73" s="3">
        <v>46092</v>
      </c>
      <c r="B73" t="s">
        <v>55</v>
      </c>
      <c r="C73">
        <v>149.16</v>
      </c>
      <c r="D73">
        <v>-60.49</v>
      </c>
    </row>
    <row r="74" spans="1:4" x14ac:dyDescent="0.2">
      <c r="A74" s="3">
        <v>46184</v>
      </c>
      <c r="C74">
        <v>150.28</v>
      </c>
      <c r="D74">
        <v>-60.93</v>
      </c>
    </row>
    <row r="75" spans="1:4" x14ac:dyDescent="0.2">
      <c r="A75" s="3">
        <v>46276</v>
      </c>
      <c r="B75" t="s">
        <v>56</v>
      </c>
      <c r="C75">
        <v>119.26</v>
      </c>
      <c r="D75">
        <v>-48.36</v>
      </c>
    </row>
    <row r="76" spans="1:4" x14ac:dyDescent="0.2">
      <c r="A76" s="3">
        <v>46056</v>
      </c>
      <c r="B76" t="s">
        <v>57</v>
      </c>
      <c r="C76">
        <v>41.36</v>
      </c>
      <c r="D76">
        <v>-6.2</v>
      </c>
    </row>
    <row r="77" spans="1:4" x14ac:dyDescent="0.2">
      <c r="A77" s="3">
        <v>46147</v>
      </c>
      <c r="C77">
        <v>41.93</v>
      </c>
      <c r="D77">
        <v>-17</v>
      </c>
    </row>
    <row r="78" spans="1:4" x14ac:dyDescent="0.2">
      <c r="A78" s="3">
        <v>46238</v>
      </c>
      <c r="C78">
        <v>32.33</v>
      </c>
      <c r="D78">
        <v>-13.1</v>
      </c>
    </row>
    <row r="79" spans="1:4" x14ac:dyDescent="0.2">
      <c r="A79" s="3">
        <v>46231</v>
      </c>
      <c r="B79" t="s">
        <v>58</v>
      </c>
      <c r="C79">
        <v>17.68</v>
      </c>
      <c r="D79">
        <v>-7.16</v>
      </c>
    </row>
    <row r="80" spans="1:4" x14ac:dyDescent="0.2">
      <c r="A80" s="3">
        <v>46112</v>
      </c>
      <c r="B80" t="s">
        <v>59</v>
      </c>
      <c r="C80">
        <v>140.63</v>
      </c>
      <c r="D80">
        <v>-57.03</v>
      </c>
    </row>
    <row r="81" spans="1:4" x14ac:dyDescent="0.2">
      <c r="A81" s="3">
        <v>46203</v>
      </c>
      <c r="C81">
        <v>94.44</v>
      </c>
      <c r="D81">
        <v>-38.28</v>
      </c>
    </row>
    <row r="82" spans="1:4" x14ac:dyDescent="0.2">
      <c r="A82" s="3">
        <v>46295</v>
      </c>
      <c r="C82">
        <v>105.44</v>
      </c>
      <c r="D82">
        <v>-42.74</v>
      </c>
    </row>
    <row r="83" spans="1:4" x14ac:dyDescent="0.2">
      <c r="A83" s="3">
        <v>46031</v>
      </c>
      <c r="B83" t="s">
        <v>60</v>
      </c>
      <c r="C83">
        <v>72.22</v>
      </c>
      <c r="D83">
        <v>0</v>
      </c>
    </row>
    <row r="84" spans="1:4" x14ac:dyDescent="0.2">
      <c r="A84" s="3">
        <v>46122</v>
      </c>
      <c r="C84">
        <v>81.010000000000005</v>
      </c>
      <c r="D84">
        <v>-21.36</v>
      </c>
    </row>
    <row r="85" spans="1:4" x14ac:dyDescent="0.2">
      <c r="A85" s="3">
        <v>46213</v>
      </c>
      <c r="C85">
        <v>78.150000000000006</v>
      </c>
      <c r="D85">
        <v>-20.6</v>
      </c>
    </row>
    <row r="86" spans="1:4" x14ac:dyDescent="0.2">
      <c r="A86" s="3">
        <v>46146</v>
      </c>
      <c r="B86" t="s">
        <v>61</v>
      </c>
      <c r="C86">
        <v>210.34</v>
      </c>
      <c r="D86">
        <v>-55.48</v>
      </c>
    </row>
    <row r="87" spans="1:4" x14ac:dyDescent="0.2">
      <c r="A87" s="3">
        <v>46202</v>
      </c>
      <c r="C87">
        <v>48.01</v>
      </c>
      <c r="D87">
        <v>-12.66</v>
      </c>
    </row>
    <row r="88" spans="1:4" x14ac:dyDescent="0.2">
      <c r="A88" s="3">
        <v>46293</v>
      </c>
      <c r="C88">
        <v>48.04</v>
      </c>
      <c r="D88">
        <v>-12.67</v>
      </c>
    </row>
    <row r="89" spans="1:4" x14ac:dyDescent="0.2">
      <c r="A89" s="3">
        <v>46037</v>
      </c>
      <c r="B89" t="s">
        <v>62</v>
      </c>
      <c r="C89">
        <v>53.84</v>
      </c>
      <c r="D89">
        <v>-8.08</v>
      </c>
    </row>
    <row r="90" spans="1:4" x14ac:dyDescent="0.2">
      <c r="A90" s="3">
        <v>46136</v>
      </c>
      <c r="C90">
        <v>230.37</v>
      </c>
      <c r="D90">
        <v>-58.85</v>
      </c>
    </row>
    <row r="91" spans="1:4" x14ac:dyDescent="0.2">
      <c r="A91" s="3">
        <v>46244</v>
      </c>
      <c r="C91">
        <v>125.2</v>
      </c>
      <c r="D91">
        <v>-31.98</v>
      </c>
    </row>
    <row r="92" spans="1:4" x14ac:dyDescent="0.2">
      <c r="A92" s="3">
        <v>46162</v>
      </c>
      <c r="B92" t="s">
        <v>63</v>
      </c>
      <c r="C92">
        <v>265.05</v>
      </c>
      <c r="D92">
        <v>-96.87</v>
      </c>
    </row>
    <row r="93" spans="1:4" x14ac:dyDescent="0.2">
      <c r="A93" s="3">
        <v>46092</v>
      </c>
      <c r="B93" t="s">
        <v>64</v>
      </c>
      <c r="C93">
        <v>55.7</v>
      </c>
      <c r="D93">
        <v>-22.58</v>
      </c>
    </row>
    <row r="94" spans="1:4" x14ac:dyDescent="0.2">
      <c r="A94" s="3">
        <v>46183</v>
      </c>
      <c r="C94">
        <v>57.77</v>
      </c>
      <c r="D94">
        <v>-23.42</v>
      </c>
    </row>
    <row r="95" spans="1:4" x14ac:dyDescent="0.2">
      <c r="A95" s="3">
        <v>46274</v>
      </c>
      <c r="C95">
        <v>57.54</v>
      </c>
      <c r="D95">
        <v>-23.33</v>
      </c>
    </row>
    <row r="96" spans="1:4" x14ac:dyDescent="0.2">
      <c r="A96" s="3">
        <v>46056</v>
      </c>
      <c r="B96" t="s">
        <v>65</v>
      </c>
      <c r="C96">
        <v>99.62</v>
      </c>
      <c r="D96">
        <v>-14.95</v>
      </c>
    </row>
    <row r="97" spans="1:4" x14ac:dyDescent="0.2">
      <c r="A97" s="3">
        <v>46146</v>
      </c>
      <c r="C97">
        <v>100.9</v>
      </c>
      <c r="D97">
        <v>-40.909999999999997</v>
      </c>
    </row>
    <row r="98" spans="1:4" x14ac:dyDescent="0.2">
      <c r="A98" s="3">
        <v>46237</v>
      </c>
      <c r="C98">
        <v>78.040000000000006</v>
      </c>
      <c r="D98">
        <v>-31.63</v>
      </c>
    </row>
    <row r="99" spans="1:4" x14ac:dyDescent="0.2">
      <c r="A99" s="3">
        <v>46162</v>
      </c>
      <c r="B99" t="s">
        <v>66</v>
      </c>
      <c r="C99">
        <v>174.57</v>
      </c>
      <c r="D99">
        <v>-46.05</v>
      </c>
    </row>
    <row r="100" spans="1:4" x14ac:dyDescent="0.2">
      <c r="A100" s="3">
        <v>46281</v>
      </c>
      <c r="C100">
        <v>114.93</v>
      </c>
      <c r="D100">
        <v>-30.31</v>
      </c>
    </row>
    <row r="101" spans="1:4" x14ac:dyDescent="0.2">
      <c r="A101" s="3">
        <v>46146</v>
      </c>
      <c r="B101" t="s">
        <v>67</v>
      </c>
      <c r="C101">
        <v>129.6</v>
      </c>
      <c r="D101">
        <v>-49.07</v>
      </c>
    </row>
    <row r="102" spans="1:4" x14ac:dyDescent="0.2">
      <c r="A102" s="3">
        <v>46147</v>
      </c>
      <c r="C102">
        <v>1.93</v>
      </c>
      <c r="D102">
        <v>-0.73</v>
      </c>
    </row>
    <row r="103" spans="1:4" x14ac:dyDescent="0.2">
      <c r="A103" s="3">
        <v>46142</v>
      </c>
      <c r="B103" t="s">
        <v>68</v>
      </c>
      <c r="C103">
        <v>217.5</v>
      </c>
      <c r="D103">
        <v>-82.37</v>
      </c>
    </row>
    <row r="104" spans="1:4" x14ac:dyDescent="0.2">
      <c r="A104" s="3">
        <v>46063</v>
      </c>
      <c r="B104" t="s">
        <v>69</v>
      </c>
      <c r="C104">
        <v>17.55</v>
      </c>
      <c r="D104">
        <v>-2.63</v>
      </c>
    </row>
    <row r="105" spans="1:4" x14ac:dyDescent="0.2">
      <c r="A105" s="3">
        <v>46153</v>
      </c>
      <c r="C105">
        <v>17.71</v>
      </c>
      <c r="D105">
        <v>-7.17</v>
      </c>
    </row>
    <row r="106" spans="1:4" x14ac:dyDescent="0.2">
      <c r="A106" s="3">
        <v>46244</v>
      </c>
      <c r="C106">
        <v>11.29</v>
      </c>
      <c r="D106">
        <v>-4.58</v>
      </c>
    </row>
    <row r="107" spans="1:4" x14ac:dyDescent="0.2">
      <c r="A107" s="3">
        <v>46031</v>
      </c>
      <c r="B107" t="s">
        <v>70</v>
      </c>
      <c r="C107">
        <v>139.38999999999999</v>
      </c>
      <c r="D107">
        <v>-20.91</v>
      </c>
    </row>
    <row r="108" spans="1:4" x14ac:dyDescent="0.2">
      <c r="A108" s="3">
        <v>46120</v>
      </c>
      <c r="C108">
        <v>140.87</v>
      </c>
      <c r="D108">
        <v>-57.12</v>
      </c>
    </row>
    <row r="109" spans="1:4" x14ac:dyDescent="0.2">
      <c r="A109" s="3">
        <v>46212</v>
      </c>
      <c r="C109">
        <v>109.97</v>
      </c>
      <c r="D109">
        <v>-44.58</v>
      </c>
    </row>
    <row r="110" spans="1:4" x14ac:dyDescent="0.2">
      <c r="A110" s="3">
        <v>46108</v>
      </c>
      <c r="B110" t="s">
        <v>71</v>
      </c>
      <c r="C110">
        <v>178.17</v>
      </c>
      <c r="D110">
        <v>-7.35</v>
      </c>
    </row>
    <row r="111" spans="1:4" x14ac:dyDescent="0.2">
      <c r="A111" s="3">
        <v>46199</v>
      </c>
      <c r="C111">
        <v>11.99</v>
      </c>
      <c r="D111">
        <v>-4.8600000000000003</v>
      </c>
    </row>
    <row r="112" spans="1:4" x14ac:dyDescent="0.2">
      <c r="A112" s="3">
        <v>46294</v>
      </c>
      <c r="C112">
        <v>11.97</v>
      </c>
      <c r="D112">
        <v>-4.8499999999999996</v>
      </c>
    </row>
    <row r="113" spans="1:4" x14ac:dyDescent="0.2">
      <c r="A113" s="3">
        <v>46094</v>
      </c>
      <c r="B113" t="s">
        <v>72</v>
      </c>
      <c r="C113">
        <v>106.02</v>
      </c>
      <c r="D113">
        <v>-43</v>
      </c>
    </row>
    <row r="114" spans="1:4" x14ac:dyDescent="0.2">
      <c r="A114" s="3">
        <v>46185</v>
      </c>
      <c r="C114">
        <v>84.21</v>
      </c>
      <c r="D114">
        <v>-34.15</v>
      </c>
    </row>
    <row r="115" spans="1:4" x14ac:dyDescent="0.2">
      <c r="A115" s="3">
        <v>46276</v>
      </c>
      <c r="C115">
        <v>83.51</v>
      </c>
      <c r="D115">
        <v>-33.85</v>
      </c>
    </row>
    <row r="116" spans="1:4" x14ac:dyDescent="0.2">
      <c r="A116" s="3">
        <v>46203</v>
      </c>
      <c r="B116" t="s">
        <v>73</v>
      </c>
      <c r="C116">
        <v>272.88</v>
      </c>
      <c r="D116">
        <v>-70.58</v>
      </c>
    </row>
    <row r="117" spans="1:4" x14ac:dyDescent="0.2">
      <c r="A117" s="3">
        <v>46162</v>
      </c>
      <c r="B117" t="s">
        <v>74</v>
      </c>
      <c r="C117">
        <v>134.4</v>
      </c>
      <c r="D117">
        <v>-49.11</v>
      </c>
    </row>
    <row r="118" spans="1:4" x14ac:dyDescent="0.2">
      <c r="A118" s="3">
        <v>46069</v>
      </c>
      <c r="B118" t="s">
        <v>75</v>
      </c>
      <c r="C118">
        <v>74.02</v>
      </c>
      <c r="D118">
        <v>-11.1</v>
      </c>
    </row>
    <row r="119" spans="1:4" x14ac:dyDescent="0.2">
      <c r="A119" s="3">
        <v>46160</v>
      </c>
      <c r="C119">
        <v>75.34</v>
      </c>
      <c r="D119">
        <v>-30.55</v>
      </c>
    </row>
    <row r="120" spans="1:4" x14ac:dyDescent="0.2">
      <c r="A120" s="3">
        <v>46251</v>
      </c>
      <c r="C120">
        <v>87.34</v>
      </c>
      <c r="D120">
        <v>-35.42</v>
      </c>
    </row>
    <row r="121" spans="1:4" x14ac:dyDescent="0.2">
      <c r="A121" s="3">
        <v>46149</v>
      </c>
      <c r="B121" t="s">
        <v>76</v>
      </c>
      <c r="C121">
        <v>270.95999999999998</v>
      </c>
      <c r="D121">
        <v>-35.42</v>
      </c>
    </row>
    <row r="122" spans="1:4" x14ac:dyDescent="0.2">
      <c r="A122" s="3">
        <v>46142</v>
      </c>
      <c r="B122" t="s">
        <v>77</v>
      </c>
      <c r="C122">
        <v>148.29</v>
      </c>
      <c r="D122">
        <v>-67.55</v>
      </c>
    </row>
    <row r="123" spans="1:4" x14ac:dyDescent="0.2">
      <c r="A123" s="3">
        <v>46114</v>
      </c>
      <c r="B123" t="s">
        <v>78</v>
      </c>
      <c r="C123">
        <v>430.08</v>
      </c>
      <c r="D123">
        <v>-195.9</v>
      </c>
    </row>
    <row r="124" spans="1:4" x14ac:dyDescent="0.2">
      <c r="A124" s="3">
        <v>46094</v>
      </c>
      <c r="B124" t="s">
        <v>79</v>
      </c>
      <c r="C124">
        <v>200.39</v>
      </c>
      <c r="D124">
        <v>-91.29</v>
      </c>
    </row>
    <row r="125" spans="1:4" x14ac:dyDescent="0.2">
      <c r="A125" s="3">
        <v>46113</v>
      </c>
      <c r="B125" t="s">
        <v>80</v>
      </c>
      <c r="C125">
        <v>309.8</v>
      </c>
      <c r="D125">
        <v>-116.33</v>
      </c>
    </row>
    <row r="126" spans="1:4" x14ac:dyDescent="0.2">
      <c r="A126" s="3">
        <v>46253</v>
      </c>
      <c r="C126">
        <v>146.08000000000001</v>
      </c>
      <c r="D126">
        <v>-54.85</v>
      </c>
    </row>
    <row r="127" spans="1:4" x14ac:dyDescent="0.2">
      <c r="A127" s="3">
        <v>46114</v>
      </c>
      <c r="B127" t="s">
        <v>81</v>
      </c>
      <c r="C127">
        <v>3.68</v>
      </c>
      <c r="D127">
        <v>-1.49</v>
      </c>
    </row>
    <row r="128" spans="1:4" x14ac:dyDescent="0.2">
      <c r="A128" s="3">
        <v>46202</v>
      </c>
      <c r="C128">
        <v>78.7</v>
      </c>
      <c r="D128">
        <v>-31.91</v>
      </c>
    </row>
    <row r="129" spans="1:4" x14ac:dyDescent="0.2">
      <c r="A129" s="3">
        <v>46048</v>
      </c>
      <c r="B129" t="s">
        <v>82</v>
      </c>
      <c r="C129">
        <v>17.420000000000002</v>
      </c>
      <c r="D129">
        <v>-2.62</v>
      </c>
    </row>
    <row r="130" spans="1:4" x14ac:dyDescent="0.2">
      <c r="A130" s="3">
        <v>46139</v>
      </c>
      <c r="C130">
        <v>17.47</v>
      </c>
      <c r="D130">
        <v>-7.08</v>
      </c>
    </row>
    <row r="131" spans="1:4" x14ac:dyDescent="0.2">
      <c r="A131" s="3">
        <v>46230</v>
      </c>
      <c r="C131">
        <v>17.96</v>
      </c>
      <c r="D131">
        <v>-7.28</v>
      </c>
    </row>
    <row r="132" spans="1:4" x14ac:dyDescent="0.2">
      <c r="A132" s="3">
        <v>46090</v>
      </c>
      <c r="B132" t="s">
        <v>83</v>
      </c>
      <c r="C132">
        <v>62.1</v>
      </c>
      <c r="D132">
        <v>-25.18</v>
      </c>
    </row>
    <row r="133" spans="1:4" x14ac:dyDescent="0.2">
      <c r="A133" s="3">
        <v>46181</v>
      </c>
      <c r="C133">
        <v>68.540000000000006</v>
      </c>
      <c r="D133">
        <v>-27.79</v>
      </c>
    </row>
    <row r="134" spans="1:4" x14ac:dyDescent="0.2">
      <c r="A134" s="3">
        <v>46279</v>
      </c>
      <c r="C134">
        <v>37.86</v>
      </c>
      <c r="D134">
        <v>-15.35</v>
      </c>
    </row>
    <row r="135" spans="1:4" x14ac:dyDescent="0.2">
      <c r="A135" s="3">
        <v>46029</v>
      </c>
      <c r="B135" t="s">
        <v>84</v>
      </c>
      <c r="C135">
        <v>89.69</v>
      </c>
      <c r="D135">
        <v>-13.45</v>
      </c>
    </row>
    <row r="136" spans="1:4" x14ac:dyDescent="0.2">
      <c r="A136" s="3">
        <v>46113</v>
      </c>
      <c r="C136">
        <v>91.61</v>
      </c>
      <c r="D136">
        <v>-37.15</v>
      </c>
    </row>
    <row r="137" spans="1:4" x14ac:dyDescent="0.2">
      <c r="A137" s="3">
        <v>46204</v>
      </c>
      <c r="C137">
        <v>95.79</v>
      </c>
      <c r="D137">
        <v>-38.840000000000003</v>
      </c>
    </row>
    <row r="138" spans="1:4" x14ac:dyDescent="0.2">
      <c r="A138" s="3">
        <v>46090</v>
      </c>
      <c r="B138" t="s">
        <v>85</v>
      </c>
      <c r="C138">
        <v>240.35</v>
      </c>
      <c r="D138">
        <v>-97.46</v>
      </c>
    </row>
    <row r="139" spans="1:4" x14ac:dyDescent="0.2">
      <c r="A139" s="3">
        <v>46188</v>
      </c>
      <c r="C139">
        <v>240.17</v>
      </c>
      <c r="D139">
        <v>-97.38</v>
      </c>
    </row>
    <row r="140" spans="1:4" x14ac:dyDescent="0.2">
      <c r="A140" s="3">
        <v>46267</v>
      </c>
      <c r="C140">
        <v>173.14</v>
      </c>
      <c r="D140">
        <v>-70.209999999999994</v>
      </c>
    </row>
    <row r="141" spans="1:4" x14ac:dyDescent="0.2">
      <c r="A141" s="3">
        <v>46071</v>
      </c>
      <c r="B141" t="s">
        <v>86</v>
      </c>
      <c r="C141">
        <v>102.46</v>
      </c>
      <c r="D141">
        <v>-15.37</v>
      </c>
    </row>
    <row r="142" spans="1:4" x14ac:dyDescent="0.2">
      <c r="A142" s="3">
        <v>46160</v>
      </c>
      <c r="C142">
        <v>107.18</v>
      </c>
      <c r="D142">
        <v>-43.44</v>
      </c>
    </row>
    <row r="143" spans="1:4" x14ac:dyDescent="0.2">
      <c r="A143" s="3">
        <v>46252</v>
      </c>
      <c r="C143">
        <v>107.72</v>
      </c>
      <c r="D143">
        <v>-43.67</v>
      </c>
    </row>
    <row r="144" spans="1:4" x14ac:dyDescent="0.2">
      <c r="A144" s="3">
        <v>46101</v>
      </c>
      <c r="B144" t="s">
        <v>87</v>
      </c>
      <c r="C144">
        <v>76.81</v>
      </c>
      <c r="D144">
        <v>-31.14</v>
      </c>
    </row>
    <row r="145" spans="1:4" x14ac:dyDescent="0.2">
      <c r="A145" s="3">
        <v>46185</v>
      </c>
      <c r="C145">
        <v>61.87</v>
      </c>
      <c r="D145">
        <v>-25.09</v>
      </c>
    </row>
    <row r="146" spans="1:4" x14ac:dyDescent="0.2">
      <c r="A146" s="3">
        <v>46269</v>
      </c>
      <c r="C146">
        <v>61.48</v>
      </c>
      <c r="D146">
        <v>-24.92</v>
      </c>
    </row>
    <row r="147" spans="1:4" x14ac:dyDescent="0.2">
      <c r="A147" s="3">
        <v>46132</v>
      </c>
      <c r="B147" t="s">
        <v>88</v>
      </c>
      <c r="C147">
        <v>411.34</v>
      </c>
      <c r="D147">
        <v>-108.49</v>
      </c>
    </row>
    <row r="148" spans="1:4" x14ac:dyDescent="0.2">
      <c r="A148" s="3">
        <v>46290</v>
      </c>
      <c r="C148">
        <v>216.32</v>
      </c>
      <c r="D148">
        <v>-57.05</v>
      </c>
    </row>
    <row r="149" spans="1:4" x14ac:dyDescent="0.2">
      <c r="A149" s="3">
        <v>46177</v>
      </c>
      <c r="B149" t="s">
        <v>89</v>
      </c>
      <c r="C149">
        <v>62.26</v>
      </c>
      <c r="D149">
        <v>-16.420000000000002</v>
      </c>
    </row>
    <row r="150" spans="1:4" x14ac:dyDescent="0.2">
      <c r="A150" s="3">
        <v>46286</v>
      </c>
      <c r="C150">
        <v>75.12</v>
      </c>
      <c r="D150">
        <v>-19.809999999999999</v>
      </c>
    </row>
    <row r="151" spans="1:4" x14ac:dyDescent="0.2">
      <c r="A151" s="3">
        <v>46078</v>
      </c>
      <c r="B151" t="s">
        <v>90</v>
      </c>
      <c r="C151">
        <v>71.81</v>
      </c>
      <c r="D151">
        <v>-15.59</v>
      </c>
    </row>
    <row r="152" spans="1:4" x14ac:dyDescent="0.2">
      <c r="A152" s="3">
        <v>46167</v>
      </c>
      <c r="C152">
        <v>72.489999999999995</v>
      </c>
      <c r="D152">
        <v>-16.420000000000002</v>
      </c>
    </row>
    <row r="153" spans="1:4" x14ac:dyDescent="0.2">
      <c r="A153" s="3">
        <v>46259</v>
      </c>
      <c r="C153">
        <v>77.12</v>
      </c>
      <c r="D153">
        <v>-19.809999999999999</v>
      </c>
    </row>
    <row r="154" spans="1:4" x14ac:dyDescent="0.2">
      <c r="A154" s="3">
        <v>46031</v>
      </c>
      <c r="B154" t="s">
        <v>91</v>
      </c>
      <c r="C154">
        <v>7.47</v>
      </c>
      <c r="D154">
        <v>-1.1200000000000001</v>
      </c>
    </row>
    <row r="155" spans="1:4" x14ac:dyDescent="0.2">
      <c r="A155" s="3">
        <v>46136</v>
      </c>
      <c r="C155">
        <v>7.88</v>
      </c>
      <c r="D155">
        <v>-3.19</v>
      </c>
    </row>
    <row r="156" spans="1:4" x14ac:dyDescent="0.2">
      <c r="A156" s="3">
        <v>46206</v>
      </c>
      <c r="C156">
        <v>8.08</v>
      </c>
      <c r="D156">
        <v>-3.27</v>
      </c>
    </row>
    <row r="157" spans="1:4" x14ac:dyDescent="0.2">
      <c r="A157" s="3">
        <v>46149</v>
      </c>
      <c r="B157" t="s">
        <v>92</v>
      </c>
      <c r="C157">
        <v>622.12</v>
      </c>
      <c r="D157">
        <v>-235.6</v>
      </c>
    </row>
    <row r="158" spans="1:4" x14ac:dyDescent="0.2">
      <c r="A158" s="3">
        <v>46164</v>
      </c>
      <c r="C158">
        <v>0.21</v>
      </c>
      <c r="D158">
        <v>-0.08</v>
      </c>
    </row>
    <row r="159" spans="1:4" x14ac:dyDescent="0.2">
      <c r="A159" s="3">
        <v>46150</v>
      </c>
      <c r="B159" t="s">
        <v>93</v>
      </c>
      <c r="C159">
        <v>212.5</v>
      </c>
      <c r="D159">
        <v>-56.05</v>
      </c>
    </row>
    <row r="160" spans="1:4" x14ac:dyDescent="0.2">
      <c r="A160" s="3">
        <v>46112</v>
      </c>
      <c r="B160" t="s">
        <v>94</v>
      </c>
      <c r="C160">
        <v>103.98</v>
      </c>
      <c r="D160">
        <v>-27.43</v>
      </c>
    </row>
    <row r="161" spans="1:4" x14ac:dyDescent="0.2">
      <c r="A161" s="3">
        <v>46203</v>
      </c>
      <c r="C161">
        <v>71.55</v>
      </c>
      <c r="D161">
        <v>-18.87</v>
      </c>
    </row>
    <row r="162" spans="1:4" x14ac:dyDescent="0.2">
      <c r="A162" s="3">
        <v>46287</v>
      </c>
      <c r="C162">
        <v>71.290000000000006</v>
      </c>
      <c r="D162">
        <v>-18.8</v>
      </c>
    </row>
    <row r="163" spans="1:4" x14ac:dyDescent="0.2">
      <c r="A163" s="3">
        <v>46070</v>
      </c>
      <c r="B163" t="s">
        <v>95</v>
      </c>
      <c r="C163">
        <v>561.75</v>
      </c>
      <c r="D163">
        <v>0</v>
      </c>
    </row>
    <row r="164" spans="1:4" x14ac:dyDescent="0.2">
      <c r="A164" s="3">
        <v>46175</v>
      </c>
      <c r="B164" t="s">
        <v>96</v>
      </c>
      <c r="C164">
        <v>14.11</v>
      </c>
      <c r="D164">
        <v>-3.64</v>
      </c>
    </row>
    <row r="165" spans="1:4" x14ac:dyDescent="0.2">
      <c r="A165" s="3">
        <v>46178</v>
      </c>
      <c r="C165">
        <v>4.29</v>
      </c>
      <c r="D165">
        <v>-1.1100000000000001</v>
      </c>
    </row>
    <row r="166" spans="1:4" x14ac:dyDescent="0.2">
      <c r="A166" s="3">
        <v>46083</v>
      </c>
      <c r="B166" t="s">
        <v>97</v>
      </c>
      <c r="C166">
        <v>33.01</v>
      </c>
      <c r="D166">
        <v>-8.64</v>
      </c>
    </row>
    <row r="167" spans="1:4" x14ac:dyDescent="0.2">
      <c r="A167" s="3">
        <v>46174</v>
      </c>
      <c r="C167">
        <v>33.46</v>
      </c>
      <c r="D167">
        <v>-13.57</v>
      </c>
    </row>
    <row r="168" spans="1:4" x14ac:dyDescent="0.2">
      <c r="A168" s="3">
        <v>46265</v>
      </c>
      <c r="C168">
        <v>33.44</v>
      </c>
      <c r="D168">
        <v>-13.55</v>
      </c>
    </row>
    <row r="169" spans="1:4" x14ac:dyDescent="0.2">
      <c r="A169" s="3">
        <v>46055</v>
      </c>
      <c r="B169" t="s">
        <v>98</v>
      </c>
      <c r="C169">
        <v>10.28</v>
      </c>
      <c r="D169">
        <v>-1.54</v>
      </c>
    </row>
    <row r="170" spans="1:4" x14ac:dyDescent="0.2">
      <c r="A170" s="3">
        <v>46034</v>
      </c>
      <c r="B170" t="s">
        <v>99</v>
      </c>
      <c r="C170">
        <v>42.8</v>
      </c>
      <c r="D170">
        <v>-8.99</v>
      </c>
    </row>
    <row r="171" spans="1:4" x14ac:dyDescent="0.2">
      <c r="A171" s="3">
        <v>46125</v>
      </c>
      <c r="C171">
        <v>50.55</v>
      </c>
      <c r="D171">
        <v>-18.61</v>
      </c>
    </row>
    <row r="172" spans="1:4" x14ac:dyDescent="0.2">
      <c r="A172" s="3">
        <v>46216</v>
      </c>
      <c r="C172">
        <v>40.18</v>
      </c>
      <c r="D172">
        <v>-14.8</v>
      </c>
    </row>
    <row r="173" spans="1:4" x14ac:dyDescent="0.2">
      <c r="A173" s="3">
        <v>46108</v>
      </c>
      <c r="B173" t="s">
        <v>100</v>
      </c>
      <c r="C173">
        <v>159.30000000000001</v>
      </c>
      <c r="D173">
        <v>-64.59</v>
      </c>
    </row>
    <row r="174" spans="1:4" x14ac:dyDescent="0.2">
      <c r="A174" s="3">
        <v>46192</v>
      </c>
      <c r="C174">
        <v>101.37</v>
      </c>
      <c r="D174">
        <v>-41.09</v>
      </c>
    </row>
    <row r="175" spans="1:4" x14ac:dyDescent="0.2">
      <c r="A175" s="3">
        <v>46289</v>
      </c>
      <c r="C175">
        <v>101.23</v>
      </c>
      <c r="D175">
        <v>-41.05</v>
      </c>
    </row>
    <row r="176" spans="1:4" x14ac:dyDescent="0.2">
      <c r="A176" s="3">
        <v>46038</v>
      </c>
      <c r="B176" t="s">
        <v>101</v>
      </c>
      <c r="C176">
        <v>2.95</v>
      </c>
      <c r="D176">
        <v>-0.45</v>
      </c>
    </row>
    <row r="177" spans="1:4" x14ac:dyDescent="0.2">
      <c r="A177" s="3">
        <v>46128</v>
      </c>
      <c r="C177">
        <v>3.19</v>
      </c>
      <c r="D177">
        <v>-1.29</v>
      </c>
    </row>
    <row r="178" spans="1:4" x14ac:dyDescent="0.2">
      <c r="A178" s="3">
        <v>46219</v>
      </c>
      <c r="C178">
        <v>3.29</v>
      </c>
      <c r="D178">
        <v>-1.33</v>
      </c>
    </row>
    <row r="179" spans="1:4" x14ac:dyDescent="0.2">
      <c r="A179" s="3">
        <v>46028</v>
      </c>
      <c r="B179" t="s">
        <v>102</v>
      </c>
      <c r="C179">
        <v>175.95</v>
      </c>
      <c r="D179">
        <v>-43.99</v>
      </c>
    </row>
    <row r="180" spans="1:4" x14ac:dyDescent="0.2">
      <c r="A180" s="3">
        <v>46114</v>
      </c>
      <c r="C180">
        <v>175.95</v>
      </c>
      <c r="D180">
        <v>-66.64</v>
      </c>
    </row>
    <row r="181" spans="1:4" x14ac:dyDescent="0.2">
      <c r="A181" s="3">
        <v>46205</v>
      </c>
      <c r="C181">
        <v>115.6</v>
      </c>
      <c r="D181">
        <v>-43.77</v>
      </c>
    </row>
    <row r="182" spans="1:4" x14ac:dyDescent="0.2">
      <c r="A182" s="3">
        <v>46136</v>
      </c>
      <c r="B182" t="s">
        <v>103</v>
      </c>
      <c r="C182">
        <v>89.4</v>
      </c>
      <c r="D182">
        <v>-23.57</v>
      </c>
    </row>
    <row r="183" spans="1:4" x14ac:dyDescent="0.2">
      <c r="A183" s="3">
        <v>46136</v>
      </c>
      <c r="C183">
        <v>89.4</v>
      </c>
      <c r="D183">
        <v>-40.72</v>
      </c>
    </row>
    <row r="184" spans="1:4" x14ac:dyDescent="0.2">
      <c r="A184" s="3">
        <v>46125</v>
      </c>
      <c r="B184" t="s">
        <v>104</v>
      </c>
      <c r="C184">
        <v>44.08</v>
      </c>
      <c r="D184">
        <v>-11.62</v>
      </c>
    </row>
    <row r="185" spans="1:4" x14ac:dyDescent="0.2">
      <c r="A185" s="3">
        <v>46202</v>
      </c>
      <c r="C185">
        <v>44.45</v>
      </c>
      <c r="D185">
        <v>-11.72</v>
      </c>
    </row>
    <row r="186" spans="1:4" x14ac:dyDescent="0.2">
      <c r="A186" s="3">
        <v>46286</v>
      </c>
      <c r="C186">
        <v>43.94</v>
      </c>
      <c r="D186">
        <v>-11.59</v>
      </c>
    </row>
    <row r="187" spans="1:4" x14ac:dyDescent="0.2">
      <c r="A187" s="3">
        <v>46113</v>
      </c>
      <c r="B187" t="s">
        <v>105</v>
      </c>
      <c r="C187">
        <v>74.459999999999994</v>
      </c>
      <c r="D187">
        <v>-30.19</v>
      </c>
    </row>
    <row r="188" spans="1:4" x14ac:dyDescent="0.2">
      <c r="A188" s="3">
        <v>46204</v>
      </c>
      <c r="C188">
        <v>53.11</v>
      </c>
      <c r="D188">
        <v>-21.54</v>
      </c>
    </row>
    <row r="189" spans="1:4" x14ac:dyDescent="0.2">
      <c r="A189" s="3">
        <v>46099</v>
      </c>
      <c r="B189" t="s">
        <v>106</v>
      </c>
      <c r="C189">
        <v>99.61</v>
      </c>
      <c r="D189">
        <v>-40.39</v>
      </c>
    </row>
    <row r="190" spans="1:4" x14ac:dyDescent="0.2">
      <c r="A190" s="3">
        <v>46197</v>
      </c>
      <c r="C190">
        <v>79.150000000000006</v>
      </c>
      <c r="D190">
        <v>-32.090000000000003</v>
      </c>
    </row>
    <row r="191" spans="1:4" x14ac:dyDescent="0.2">
      <c r="A191" s="3">
        <v>46288</v>
      </c>
      <c r="C191">
        <v>78.7</v>
      </c>
      <c r="D191">
        <v>-31.91</v>
      </c>
    </row>
    <row r="192" spans="1:4" x14ac:dyDescent="0.2">
      <c r="A192" s="3">
        <v>46084</v>
      </c>
      <c r="B192" t="s">
        <v>107</v>
      </c>
      <c r="C192">
        <v>14.81</v>
      </c>
      <c r="D192">
        <v>-6.01</v>
      </c>
    </row>
    <row r="193" spans="1:4" x14ac:dyDescent="0.2">
      <c r="A193" s="3">
        <v>46175</v>
      </c>
      <c r="C193">
        <v>14.92</v>
      </c>
      <c r="D193">
        <v>-6.05</v>
      </c>
    </row>
    <row r="194" spans="1:4" x14ac:dyDescent="0.2">
      <c r="A194" s="3">
        <v>46267</v>
      </c>
      <c r="C194">
        <v>14.99</v>
      </c>
      <c r="D194">
        <v>-6.08</v>
      </c>
    </row>
    <row r="195" spans="1:4" x14ac:dyDescent="0.2">
      <c r="A195" s="3">
        <v>46028</v>
      </c>
      <c r="B195" t="s">
        <v>108</v>
      </c>
      <c r="C195">
        <v>42.34</v>
      </c>
      <c r="D195">
        <v>-6.35</v>
      </c>
    </row>
    <row r="196" spans="1:4" x14ac:dyDescent="0.2">
      <c r="A196" s="3">
        <v>46120</v>
      </c>
      <c r="C196">
        <v>26.49</v>
      </c>
      <c r="D196">
        <v>-10.74</v>
      </c>
    </row>
    <row r="197" spans="1:4" x14ac:dyDescent="0.2">
      <c r="A197" s="3">
        <v>46169</v>
      </c>
      <c r="C197">
        <v>26.29</v>
      </c>
      <c r="D197">
        <v>-10.66</v>
      </c>
    </row>
    <row r="198" spans="1:4" x14ac:dyDescent="0.2">
      <c r="A198" s="3">
        <v>46275</v>
      </c>
      <c r="C198">
        <v>26.36</v>
      </c>
      <c r="D198">
        <v>-10.69</v>
      </c>
    </row>
    <row r="200" spans="1:4" x14ac:dyDescent="0.2">
      <c r="C200">
        <f>SUM(C3:C199)</f>
        <v>18602.410000000003</v>
      </c>
      <c r="D200">
        <f>SUM(D3:D199)</f>
        <v>-5876.7200000000021</v>
      </c>
    </row>
  </sheetData>
  <pageMargins left="0.7" right="0.7" top="0.78740157499999996" bottom="0.78740157499999996" header="0.3" footer="0.3"/>
  <pageSetup paperSize="9" orientation="portrait" copies="1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C7F8-D038-4393-9A5F-5A15FFE65807}">
  <dimension ref="A1:N20"/>
  <sheetViews>
    <sheetView workbookViewId="0">
      <selection activeCell="F18" sqref="F18:F19"/>
    </sheetView>
  </sheetViews>
  <sheetFormatPr baseColWidth="10" defaultRowHeight="12.75" x14ac:dyDescent="0.2"/>
  <sheetData>
    <row r="1" spans="1:14" x14ac:dyDescent="0.2">
      <c r="A1" t="s">
        <v>129</v>
      </c>
    </row>
    <row r="2" spans="1:14" x14ac:dyDescent="0.2">
      <c r="B2" s="1">
        <v>45657</v>
      </c>
      <c r="C2" s="1">
        <v>45691</v>
      </c>
      <c r="D2" s="1">
        <v>45719</v>
      </c>
      <c r="E2" s="1">
        <v>45748</v>
      </c>
      <c r="F2" s="1">
        <v>45779</v>
      </c>
      <c r="G2" s="1">
        <v>45810</v>
      </c>
      <c r="H2" s="1">
        <v>45840</v>
      </c>
      <c r="I2" s="1">
        <v>45870</v>
      </c>
      <c r="J2" s="1">
        <v>45901</v>
      </c>
      <c r="K2" s="1">
        <v>45932</v>
      </c>
      <c r="L2" s="1">
        <v>45964</v>
      </c>
      <c r="M2" s="1">
        <v>45992</v>
      </c>
      <c r="N2" s="1">
        <v>46022</v>
      </c>
    </row>
    <row r="3" spans="1:14" x14ac:dyDescent="0.2">
      <c r="A3" t="s">
        <v>122</v>
      </c>
      <c r="B3">
        <v>10848</v>
      </c>
      <c r="C3">
        <v>11198</v>
      </c>
      <c r="D3">
        <v>12554</v>
      </c>
      <c r="E3">
        <v>14307</v>
      </c>
      <c r="F3">
        <v>15933</v>
      </c>
      <c r="G3">
        <v>17072</v>
      </c>
      <c r="H3">
        <v>17913</v>
      </c>
      <c r="I3">
        <v>19365</v>
      </c>
      <c r="J3">
        <v>20736</v>
      </c>
      <c r="K3">
        <v>22166</v>
      </c>
      <c r="L3">
        <v>24386</v>
      </c>
      <c r="M3">
        <v>25810</v>
      </c>
      <c r="N3">
        <v>28009</v>
      </c>
    </row>
    <row r="4" spans="1:14" x14ac:dyDescent="0.2">
      <c r="A4" t="s">
        <v>123</v>
      </c>
      <c r="B4">
        <v>25099</v>
      </c>
      <c r="C4">
        <v>25099</v>
      </c>
      <c r="D4">
        <v>25099</v>
      </c>
      <c r="E4">
        <v>25133</v>
      </c>
      <c r="F4">
        <v>25133</v>
      </c>
      <c r="G4">
        <v>25133</v>
      </c>
      <c r="H4">
        <v>25167</v>
      </c>
      <c r="I4">
        <v>25167</v>
      </c>
      <c r="J4">
        <v>25167</v>
      </c>
      <c r="K4">
        <v>25201</v>
      </c>
      <c r="L4">
        <v>25201</v>
      </c>
      <c r="M4">
        <v>25201</v>
      </c>
      <c r="N4">
        <v>25235</v>
      </c>
    </row>
    <row r="5" spans="1:14" x14ac:dyDescent="0.2">
      <c r="A5" t="s">
        <v>124</v>
      </c>
      <c r="B5">
        <v>3915</v>
      </c>
      <c r="C5">
        <v>3915</v>
      </c>
      <c r="D5">
        <v>3915</v>
      </c>
      <c r="E5">
        <v>4053</v>
      </c>
      <c r="F5">
        <v>4332</v>
      </c>
      <c r="G5">
        <v>4825</v>
      </c>
      <c r="H5">
        <v>5029</v>
      </c>
      <c r="I5">
        <v>5029</v>
      </c>
      <c r="J5">
        <v>5029</v>
      </c>
      <c r="K5">
        <v>5162</v>
      </c>
      <c r="L5">
        <v>5162</v>
      </c>
      <c r="M5">
        <v>5162</v>
      </c>
      <c r="N5">
        <v>5162</v>
      </c>
    </row>
    <row r="6" spans="1:14" x14ac:dyDescent="0.2">
      <c r="A6" t="s">
        <v>125</v>
      </c>
      <c r="B6">
        <v>51751</v>
      </c>
      <c r="C6">
        <v>55456</v>
      </c>
      <c r="D6">
        <v>59361</v>
      </c>
      <c r="E6">
        <v>57574</v>
      </c>
      <c r="F6">
        <v>56166</v>
      </c>
      <c r="G6">
        <v>56634</v>
      </c>
      <c r="H6">
        <v>54819</v>
      </c>
      <c r="I6">
        <v>51790</v>
      </c>
      <c r="J6">
        <v>53118</v>
      </c>
      <c r="K6">
        <v>53506</v>
      </c>
      <c r="L6">
        <v>53626</v>
      </c>
      <c r="M6">
        <v>56646</v>
      </c>
      <c r="N6">
        <v>57560</v>
      </c>
    </row>
    <row r="10" spans="1:14" x14ac:dyDescent="0.2">
      <c r="A10" s="1">
        <v>45748</v>
      </c>
      <c r="B10">
        <v>273</v>
      </c>
      <c r="C10" t="s">
        <v>126</v>
      </c>
    </row>
    <row r="11" spans="1:14" x14ac:dyDescent="0.2">
      <c r="A11" s="1">
        <v>45772</v>
      </c>
      <c r="B11">
        <v>278</v>
      </c>
      <c r="C11" t="s">
        <v>126</v>
      </c>
    </row>
    <row r="12" spans="1:14" x14ac:dyDescent="0.2">
      <c r="A12" s="1">
        <v>45789</v>
      </c>
      <c r="B12">
        <v>294</v>
      </c>
      <c r="C12" t="s">
        <v>126</v>
      </c>
    </row>
    <row r="13" spans="1:14" x14ac:dyDescent="0.2">
      <c r="A13" s="1">
        <v>45804</v>
      </c>
      <c r="B13">
        <v>-278</v>
      </c>
      <c r="C13" t="s">
        <v>127</v>
      </c>
    </row>
    <row r="14" spans="1:14" x14ac:dyDescent="0.2">
      <c r="A14" s="1">
        <v>45805</v>
      </c>
      <c r="B14">
        <v>278</v>
      </c>
      <c r="C14" t="s">
        <v>126</v>
      </c>
    </row>
    <row r="15" spans="1:14" x14ac:dyDescent="0.2">
      <c r="A15" s="1">
        <v>45807</v>
      </c>
      <c r="B15">
        <v>198</v>
      </c>
      <c r="C15" t="s">
        <v>126</v>
      </c>
    </row>
    <row r="16" spans="1:14" x14ac:dyDescent="0.2">
      <c r="A16" s="1">
        <v>45838</v>
      </c>
      <c r="B16">
        <v>34</v>
      </c>
      <c r="C16" t="s">
        <v>128</v>
      </c>
    </row>
    <row r="17" spans="1:3" x14ac:dyDescent="0.2">
      <c r="A17" s="1">
        <v>45831</v>
      </c>
      <c r="B17">
        <v>204</v>
      </c>
      <c r="C17" t="s">
        <v>130</v>
      </c>
    </row>
    <row r="18" spans="1:3" x14ac:dyDescent="0.2">
      <c r="A18" s="1">
        <v>45919</v>
      </c>
      <c r="B18">
        <v>132</v>
      </c>
      <c r="C18" t="s">
        <v>126</v>
      </c>
    </row>
    <row r="20" spans="1:3" x14ac:dyDescent="0.2">
      <c r="A20" t="s">
        <v>12</v>
      </c>
      <c r="B20">
        <f>SUM(B10:B19)</f>
        <v>1413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zoomScale="160" zoomScaleNormal="160" workbookViewId="0">
      <selection activeCell="A5" sqref="A5"/>
    </sheetView>
  </sheetViews>
  <sheetFormatPr baseColWidth="10" defaultColWidth="11.5703125" defaultRowHeight="12.75" x14ac:dyDescent="0.2"/>
  <cols>
    <col min="1" max="1" width="17.85546875" customWidth="1"/>
  </cols>
  <sheetData>
    <row r="1" spans="1:2" x14ac:dyDescent="0.2">
      <c r="A1">
        <v>1453552.6399999999</v>
      </c>
      <c r="B1" t="s">
        <v>19</v>
      </c>
    </row>
    <row r="3" spans="1:2" x14ac:dyDescent="0.2">
      <c r="A3">
        <v>110000</v>
      </c>
      <c r="B3" t="s">
        <v>20</v>
      </c>
    </row>
    <row r="4" spans="1:2" x14ac:dyDescent="0.2">
      <c r="A4">
        <v>150000</v>
      </c>
      <c r="B4" t="s">
        <v>21</v>
      </c>
    </row>
    <row r="5" spans="1:2" x14ac:dyDescent="0.2">
      <c r="A5">
        <v>130000</v>
      </c>
      <c r="B5" t="s">
        <v>22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&amp;C&amp;"Aptos"&amp;10&amp;K0000FF Internal&amp;1#_x000D_&amp;"Arial"&amp;10&amp;K000000&amp;"Times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Nachlassverzeichnis</vt:lpstr>
      <vt:lpstr>Ertragsberechnung</vt:lpstr>
      <vt:lpstr>Ertrag Fisher Depot</vt:lpstr>
      <vt:lpstr>Ertrag comdirect 2025</vt:lpstr>
      <vt:lpstr>Erbschaftssteuer Hille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Krüger, Bernd</cp:lastModifiedBy>
  <cp:revision>8</cp:revision>
  <dcterms:created xsi:type="dcterms:W3CDTF">2026-09-28T20:16:09Z</dcterms:created>
  <dcterms:modified xsi:type="dcterms:W3CDTF">2026-10-03T11:13:15Z</dcterms:modified>
  <dc:language>de-DE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Enabled">
    <vt:lpwstr>true</vt:lpwstr>
  </property>
  <property fmtid="{D5CDD505-2E9C-101B-9397-08002B2CF9AE}" pid="3" name="MSIP_Label_bf239bbe-a726-4a51-b64e-a339d0f760df_SetDate">
    <vt:lpwstr>2026-10-03T08:55:44Z</vt:lpwstr>
  </property>
  <property fmtid="{D5CDD505-2E9C-101B-9397-08002B2CF9AE}" pid="4" name="MSIP_Label_bf239bbe-a726-4a51-b64e-a339d0f760df_Method">
    <vt:lpwstr>Standard</vt:lpwstr>
  </property>
  <property fmtid="{D5CDD505-2E9C-101B-9397-08002B2CF9AE}" pid="5" name="MSIP_Label_bf239bbe-a726-4a51-b64e-a339d0f760df_Name">
    <vt:lpwstr>doc_internal_pa</vt:lpwstr>
  </property>
  <property fmtid="{D5CDD505-2E9C-101B-9397-08002B2CF9AE}" pid="6" name="MSIP_Label_bf239bbe-a726-4a51-b64e-a339d0f760df_SiteId">
    <vt:lpwstr>1941e20a-ec2d-470a-b5aa-c6c281dc2137</vt:lpwstr>
  </property>
  <property fmtid="{D5CDD505-2E9C-101B-9397-08002B2CF9AE}" pid="7" name="MSIP_Label_bf239bbe-a726-4a51-b64e-a339d0f760df_ActionId">
    <vt:lpwstr>e50d5e8f-823d-46cf-907f-1042a546d0d3</vt:lpwstr>
  </property>
  <property fmtid="{D5CDD505-2E9C-101B-9397-08002B2CF9AE}" pid="8" name="MSIP_Label_bf239bbe-a726-4a51-b64e-a339d0f760df_ContentBits">
    <vt:lpwstr>1</vt:lpwstr>
  </property>
  <property fmtid="{D5CDD505-2E9C-101B-9397-08002B2CF9AE}" pid="9" name="MSIP_Label_bf239bbe-a726-4a51-b64e-a339d0f760df_Tag">
    <vt:lpwstr>10, 3, 0, 1</vt:lpwstr>
  </property>
</Properties>
</file>