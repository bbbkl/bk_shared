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chlassverzeichnis" sheetId="1" state="visible" r:id="rId3"/>
    <sheet name="Ertragsberechnung" sheetId="2" state="visible" r:id="rId4"/>
    <sheet name="Erbschaftssteuer Hille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<sst xmlns="http://schemas.openxmlformats.org/spreadsheetml/2006/main" count="20" uniqueCount="19">
  <si>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</si>
  <si>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</si>
  <si>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</si>
  <si>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</si>
  <si>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</si>
  <si>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</si>
  <si>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</si>
  <si>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t xml:space="preserve"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</si>
  <si>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 xml:space="preserve">5258263660</t>
    </r>
  </si>
  <si>
    <t xml:space="preserve">Berechnung der jährlichen Ausschüttungen aus Dividenden/Zinzen abzg. Kosten</t>
  </si>
  <si>
    <t xml:space="preserve">Fisher Depot</t>
  </si>
  <si>
    <t xml:space="preserve">comdirect Aktien</t>
  </si>
  <si>
    <t xml:space="preserve">Summe</t>
  </si>
  <si>
    <t xml:space="preserve">Es gibt auf Aktien durchschnittlich 3% Dividende pro Jahr</t>
  </si>
  <si>
    <t xml:space="preserve">Von der Dividende müssen 26%  Abgeltungssteuer bezahlt werden</t>
  </si>
  <si>
    <t xml:space="preserve">Fisher berechnet ab 1 Mio Depotvermögen 1% Managementgebühr pro Jahr, </t>
  </si>
  <si>
    <t xml:space="preserve">die muss der Nießbrauch-Nutzer tragen. KI-Antwort auf Frage „Muss der Nießbraucher die Verwaltungskosten eines Aktiendepots tragen?“.</t>
  </si>
  <si>
    <t xml:space="preserve">Dividende abzüglich Steuern</t>
  </si>
  <si>
    <t xml:space="preserve">Fisher Gebühren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</si>
</sst>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1" activeCellId="0" sqref="B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4.05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A2" s="1" t="s">
        <v>1</v>
      </c>
    </row>
    <row r="3" customFormat="false" ht="12.8" hidden="false" customHeight="false" outlineLevel="0" collapsed="false">
      <c r="B3" s="1" t="s">
        <v>2</v>
      </c>
      <c r="C3" s="1" t="s">
        <v>3</v>
      </c>
    </row>
    <row r="4" customFormat="false" ht="12.8" hidden="false" customHeight="false" outlineLevel="0" collapsed="false">
      <c r="A4" s="1" t="s">
        <v>4</v>
      </c>
    </row>
    <row r="5" customFormat="false" ht="12.8" hidden="false" customHeight="false" outlineLevel="0" collapsed="false">
      <c r="A5" s="1" t="s">
        <v>5</v>
      </c>
      <c r="B5" s="1" t="n">
        <v>1342014.7</v>
      </c>
      <c r="C5" s="2" t="n">
        <v>46085</v>
      </c>
    </row>
    <row r="6" customFormat="false" ht="12.8" hidden="false" customHeight="false" outlineLevel="0" collapsed="false">
      <c r="A6" s="1" t="s">
        <v>6</v>
      </c>
      <c r="B6" s="1" t="n">
        <v>51489.36</v>
      </c>
      <c r="C6" s="2" t="n">
        <v>46055</v>
      </c>
    </row>
    <row r="7" customFormat="false" ht="12.8" hidden="false" customHeight="false" outlineLevel="0" collapsed="false">
      <c r="A7" s="1" t="s">
        <v>7</v>
      </c>
      <c r="B7" s="1" t="n">
        <v>58948.58</v>
      </c>
      <c r="C7" s="2" t="n">
        <v>46055</v>
      </c>
    </row>
    <row r="8" customFormat="false" ht="13.4" hidden="false" customHeight="false" outlineLevel="0" collapsed="false">
      <c r="A8" s="1" t="s">
        <v>8</v>
      </c>
      <c r="B8" s="1" t="n">
        <v>1100</v>
      </c>
      <c r="C8" s="2" t="n">
        <v>46056</v>
      </c>
    </row>
    <row r="11" customFormat="false" ht="12.8" hidden="false" customHeight="false" outlineLevel="0" collapsed="false">
      <c r="B11" s="1" t="n">
        <f aca="false">SUM(B5:B10)</f>
        <v>1453552.64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5" activeCellId="0" sqref="B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6.08"/>
    <col collapsed="false" customWidth="true" hidden="false" outlineLevel="0" max="2" min="2" style="3" width="15.48"/>
  </cols>
  <sheetData>
    <row r="1" customFormat="false" ht="12.8" hidden="false" customHeight="false" outlineLevel="0" collapsed="false">
      <c r="A1" s="1" t="s">
        <v>9</v>
      </c>
    </row>
    <row r="3" customFormat="false" ht="12.8" hidden="false" customHeight="false" outlineLevel="0" collapsed="false">
      <c r="A3" s="1" t="s">
        <v>10</v>
      </c>
      <c r="B3" s="3" t="n">
        <v>1342014.7</v>
      </c>
    </row>
    <row r="4" customFormat="false" ht="12.8" hidden="false" customHeight="false" outlineLevel="0" collapsed="false">
      <c r="A4" s="1" t="s">
        <v>11</v>
      </c>
      <c r="B4" s="3" t="n">
        <v>58948.58</v>
      </c>
    </row>
    <row r="5" customFormat="false" ht="12.8" hidden="false" customHeight="false" outlineLevel="0" collapsed="false">
      <c r="A5" s="1" t="s">
        <v>12</v>
      </c>
      <c r="B5" s="3" t="n">
        <f aca="false">SUM(B3:B4)</f>
        <v>1400963.28</v>
      </c>
    </row>
    <row r="8" customFormat="false" ht="12.8" hidden="false" customHeight="false" outlineLevel="0" collapsed="false">
      <c r="A8" s="1" t="s">
        <v>13</v>
      </c>
    </row>
    <row r="9" customFormat="false" ht="12.8" hidden="false" customHeight="false" outlineLevel="0" collapsed="false">
      <c r="A9" s="4" t="s">
        <v>14</v>
      </c>
    </row>
    <row r="10" customFormat="false" ht="12.8" hidden="false" customHeight="false" outlineLevel="0" collapsed="false">
      <c r="A10" s="1" t="s">
        <v>15</v>
      </c>
    </row>
    <row r="11" customFormat="false" ht="12.8" hidden="false" customHeight="false" outlineLevel="0" collapsed="false">
      <c r="A11" s="1" t="s">
        <v>16</v>
      </c>
    </row>
    <row r="13" customFormat="false" ht="12.8" hidden="false" customHeight="false" outlineLevel="0" collapsed="false">
      <c r="A13" s="1" t="s">
        <v>17</v>
      </c>
      <c r="B13" s="3" t="n">
        <f aca="false">B5 * 0.03 * 0.74</f>
        <v>31101.384816</v>
      </c>
    </row>
    <row r="14" customFormat="false" ht="12.8" hidden="false" customHeight="false" outlineLevel="0" collapsed="false">
      <c r="A14" s="1" t="s">
        <v>18</v>
      </c>
      <c r="B14" s="3" t="n">
        <f aca="false">-B3*0.01</f>
        <v>-13420.147</v>
      </c>
    </row>
    <row r="15" customFormat="false" ht="12.8" hidden="false" customHeight="false" outlineLevel="0" collapsed="false">
      <c r="A15" s="1" t="s">
        <v>12</v>
      </c>
      <c r="B15" s="3" t="n">
        <f aca="false">SUM(B13:B14)</f>
        <v>17681.237816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12" activeCellId="0" sqref="C12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2026-10-03T10:46:52Z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